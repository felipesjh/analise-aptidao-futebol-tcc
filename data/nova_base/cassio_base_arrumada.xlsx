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b135ed3e7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1a9fe51bfae14ec0"/>
    <x:sheet xmlns:r="http://schemas.openxmlformats.org/officeDocument/2006/relationships" name="Ultimos_5_Jogos" sheetId="2" r:id="R006b826de31341d9"/>
    <x:sheet xmlns:r="http://schemas.openxmlformats.org/officeDocument/2006/relationships" name="Goleiro" sheetId="3" r:id="Rce6887637c9348e9"/>
    <x:sheet xmlns:r="http://schemas.openxmlformats.org/officeDocument/2006/relationships" name="Goleiro_Agregado" sheetId="4" r:id="R6c6b6a4ff2da4654"/>
    <x:sheet xmlns:r="http://schemas.openxmlformats.org/officeDocument/2006/relationships" name="Standard" sheetId="5" r:id="R962f6fd7d25c4fa1"/>
    <x:sheet xmlns:r="http://schemas.openxmlformats.org/officeDocument/2006/relationships" name="Standard_Agregado" sheetId="6" r:id="Rfb98eb698c834336"/>
    <x:sheet xmlns:r="http://schemas.openxmlformats.org/officeDocument/2006/relationships" name="Finalizacoes" sheetId="7" r:id="R9420618a39df4738"/>
    <x:sheet xmlns:r="http://schemas.openxmlformats.org/officeDocument/2006/relationships" name="Finalizacoes_Agregado" sheetId="8" r:id="R0bb27d0a7c4f4cab"/>
    <x:sheet xmlns:r="http://schemas.openxmlformats.org/officeDocument/2006/relationships" name="Tempo_Jogo" sheetId="9" r:id="R63a6bd90dbb149ea"/>
    <x:sheet xmlns:r="http://schemas.openxmlformats.org/officeDocument/2006/relationships" name="Tempo_Agregado" sheetId="10" r:id="R2505dfdd50834b2f"/>
    <x:sheet xmlns:r="http://schemas.openxmlformats.org/officeDocument/2006/relationships" name="Misc" sheetId="11" r:id="Ra0e3c08e8e2540a6"/>
    <x:sheet xmlns:r="http://schemas.openxmlformats.org/officeDocument/2006/relationships" name="Misc_Agregado" sheetId="12" r:id="R8c4c33d9566c441b"/>
    <x:sheet xmlns:r="http://schemas.openxmlformats.org/officeDocument/2006/relationships" name="Resumo_Clubes" sheetId="13" r:id="R74b6238080b645f1"/>
    <x:sheet xmlns:r="http://schemas.openxmlformats.org/officeDocument/2006/relationships" name="Resumo_Agregado" sheetId="14" r:id="R2a1f91485009484a"/>
    <x:sheet xmlns:r="http://schemas.openxmlformats.org/officeDocument/2006/relationships" name="Dashboard" sheetId="15" r:id="R5bf9fb0ebf90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9b484bd524785" /><Relationship Type="http://schemas.openxmlformats.org/officeDocument/2006/relationships/theme" Target="/xl/theme/theme1.xml" Id="Rddc66157ea194c91" /><Relationship Type="http://schemas.openxmlformats.org/officeDocument/2006/relationships/sharedStrings" Target="/xl/sharedStrings.xml" Id="Rbe4716688b684dbb" /><Relationship Type="http://schemas.openxmlformats.org/officeDocument/2006/relationships/worksheet" Target="/xl/worksheets/sheet1.xml" Id="R1a9fe51bfae14ec0" /><Relationship Type="http://schemas.openxmlformats.org/officeDocument/2006/relationships/worksheet" Target="/xl/worksheets/sheet2.xml" Id="R006b826de31341d9" /><Relationship Type="http://schemas.openxmlformats.org/officeDocument/2006/relationships/worksheet" Target="/xl/worksheets/sheet3.xml" Id="Rce6887637c9348e9" /><Relationship Type="http://schemas.openxmlformats.org/officeDocument/2006/relationships/worksheet" Target="/xl/worksheets/sheet4.xml" Id="R6c6b6a4ff2da4654" /><Relationship Type="http://schemas.openxmlformats.org/officeDocument/2006/relationships/worksheet" Target="/xl/worksheets/sheet5.xml" Id="R962f6fd7d25c4fa1" /><Relationship Type="http://schemas.openxmlformats.org/officeDocument/2006/relationships/worksheet" Target="/xl/worksheets/sheet6.xml" Id="Rfb98eb698c834336" /><Relationship Type="http://schemas.openxmlformats.org/officeDocument/2006/relationships/worksheet" Target="/xl/worksheets/sheet7.xml" Id="R9420618a39df4738" /><Relationship Type="http://schemas.openxmlformats.org/officeDocument/2006/relationships/worksheet" Target="/xl/worksheets/sheet8.xml" Id="R0bb27d0a7c4f4cab" /><Relationship Type="http://schemas.openxmlformats.org/officeDocument/2006/relationships/worksheet" Target="/xl/worksheets/sheet9.xml" Id="R63a6bd90dbb149ea" /><Relationship Type="http://schemas.openxmlformats.org/officeDocument/2006/relationships/worksheet" Target="/xl/worksheets/sheet10.xml" Id="R2505dfdd50834b2f" /><Relationship Type="http://schemas.openxmlformats.org/officeDocument/2006/relationships/worksheet" Target="/xl/worksheets/sheet11.xml" Id="Ra0e3c08e8e2540a6" /><Relationship Type="http://schemas.openxmlformats.org/officeDocument/2006/relationships/worksheet" Target="/xl/worksheets/sheet12.xml" Id="R8c4c33d9566c441b" /><Relationship Type="http://schemas.openxmlformats.org/officeDocument/2006/relationships/worksheet" Target="/xl/worksheets/sheet13.xml" Id="R74b6238080b645f1" /><Relationship Type="http://schemas.openxmlformats.org/officeDocument/2006/relationships/worksheet" Target="/xl/worksheets/sheet14.xml" Id="R2a1f91485009484a" /><Relationship Type="http://schemas.openxmlformats.org/officeDocument/2006/relationships/worksheet" Target="/xl/worksheets/sheet15.xml" Id="R5bf9fb0ebf9046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aad3c8bf64403e" /><Relationship Type="http://schemas.openxmlformats.org/officeDocument/2006/relationships/chart" Target="/xl/drawings/charts/chart2.xml" Id="R9ed9f3067aa343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- GA90 e Save%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Clube</c:v>
          </c:tx>
          <c:cat>
            <c:strRef>
              <c:f>'Dashboard'!$D$4:$D$20</c:f>
              <c:strCache>
                <c:ptCount val="0"/>
              </c:strCache>
            </c:strRef>
          </c:cat>
          <c:val>
            <c:numRef>
              <c:f>'Dashboard'!$E$4:$E$20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GA90</c:v>
          </c:tx>
          <c:cat>
            <c:strRef>
              <c:f>'Dashboard'!$D$4:$D$20</c:f>
              <c:strCache>
                <c:ptCount val="0"/>
              </c:strCache>
            </c:strRef>
          </c:cat>
          <c:val>
            <c:numRef>
              <c:f>'Dashboard'!$F$4:$F$20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Save%</c:v>
          </c:tx>
          <c:cat>
            <c:strRef>
              <c:f>'Dashboard'!$D$4:$D$20</c:f>
              <c:strCache>
                <c:ptCount val="0"/>
              </c:strCache>
            </c:strRef>
          </c:cat>
          <c:val>
            <c:numRef>
              <c:f>'Dashboard'!$G$4:$G$20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aad3c8bf64403e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d9f3067aa343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foTbl" displayName="InfoTbl" ref="A1:B19" headerRowCount="1"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Ultimos_5_JogosTbl" displayName="Ultimos_5_JogosTbl" ref="A1:T6" headerRowCount="1">
  <x:tableColumns count="20">
    <x:tableColumn id="1" name="Date"/>
    <x:tableColumn id="2" name="Day"/>
    <x:tableColumn id="3" name="Round"/>
    <x:tableColumn id="4" name="Venue"/>
    <x:tableColumn id="5" name="Result"/>
    <x:tableColumn id="6" name="Squad"/>
    <x:tableColumn id="7" name="Opponent"/>
    <x:tableColumn id="8" name="Start"/>
    <x:tableColumn id="9" name="Pos"/>
    <x:tableColumn id="10" name="Min"/>
    <x:tableColumn id="11" name="SoTA"/>
    <x:tableColumn id="12" name="GA"/>
    <x:tableColumn id="13" name="Saves"/>
    <x:tableColumn id="14" name="Save%"/>
    <x:tableColumn id="15" name="CS"/>
    <x:tableColumn id="16" name="PKatt"/>
    <x:tableColumn id="17" name="PKA"/>
    <x:tableColumn id="18" name="PKsv"/>
    <x:tableColumn id="19" name="PKm"/>
    <x:tableColumn id="20" name="Match Report"/>
  </x:tableColumns>
  <x:tableStyleInfo name="TableStyleMedium2" showRowStripes="1"/>
</x:table>
</file>

<file path=xl/tables/table3.xml><?xml version="1.0" encoding="utf-8"?>
<x:table xmlns:x="http://schemas.openxmlformats.org/spreadsheetml/2006/main" id="3" name="GoleiroTbl" displayName="GoleiroTbl" ref="A1:Z18" headerRowCount="1">
  <x:tableColumns count="26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A"/>
    <x:tableColumn id="12" name="GA90"/>
    <x:tableColumn id="13" name="SoTA"/>
    <x:tableColumn id="14" name="Saves"/>
    <x:tableColumn id="15" name="Save%"/>
    <x:tableColumn id="16" name="W"/>
    <x:tableColumn id="17" name="D"/>
    <x:tableColumn id="18" name="L"/>
    <x:tableColumn id="19" name="CS"/>
    <x:tableColumn id="20" name="CS%"/>
    <x:tableColumn id="21" name="PKatt"/>
    <x:tableColumn id="22" name="PKA"/>
    <x:tableColumn id="23" name="PKsv"/>
    <x:tableColumn id="24" name="PKm"/>
    <x:tableColumn id="25" name="Save%_2"/>
    <x:tableColumn id="26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Goleiro_AgregadoTbl" displayName="Goleiro_AgregadoTbl" ref="A1:Z8" headerRowCount="1">
  <x:tableColumns count="26">
    <x:tableColumn id="1" name="Country"/>
    <x:tableColumn id="2" name="Comp"/>
    <x:tableColumn id="3" name="LgRank"/>
    <x:tableColumn id="4" name="MP"/>
    <x:tableColumn id="5" name="Starts"/>
    <x:tableColumn id="6" name="Min"/>
    <x:tableColumn id="7" name="90s"/>
    <x:tableColumn id="8" name="GA"/>
    <x:tableColumn id="9" name="GA90"/>
    <x:tableColumn id="10" name="SoTA"/>
    <x:tableColumn id="11" name="Saves"/>
    <x:tableColumn id="12" name="Save%"/>
    <x:tableColumn id="13" name="W"/>
    <x:tableColumn id="14" name="D"/>
    <x:tableColumn id="15" name="L"/>
    <x:tableColumn id="16" name="CS"/>
    <x:tableColumn id="17" name="CS%"/>
    <x:tableColumn id="18" name="PKatt"/>
    <x:tableColumn id="19" name="PKA"/>
    <x:tableColumn id="20" name="PKsv"/>
    <x:tableColumn id="21" name="PKm"/>
    <x:tableColumn id="22" name="Save%_2"/>
    <x:tableColumn id="23" name="Matches"/>
    <x:tableColumn id="24" name="Column24"/>
    <x:tableColumn id="25" name="Column25"/>
    <x:tableColumn id="26" name="Column26"/>
  </x:tableColumns>
  <x:tableStyleInfo name="TableStyleMedium2" showRowStripes="1"/>
</x:table>
</file>

<file path=xl/tables/table5.xml><?xml version="1.0" encoding="utf-8"?>
<x:table xmlns:x="http://schemas.openxmlformats.org/spreadsheetml/2006/main" id="5" name="StandardTbl" displayName="StandardTbl" ref="A1:X18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_2"/>
    <x:tableColumn id="20" name="Ast_2"/>
    <x:tableColumn id="21" name="G+A_2"/>
    <x:tableColumn id="22" name="G-PK_2"/>
    <x:tableColumn id="23" name="G+A-PK"/>
    <x:tableColumn id="24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Standard_AgregadoTbl" displayName="Standard_AgregadoTbl" ref="A1:X8" headerRowCount="1">
  <x:tableColumns count="24">
    <x:tableColumn id="1" name="Country"/>
    <x:tableColumn id="2" name="Comp"/>
    <x:tableColumn id="3" name="LgRank"/>
    <x:tableColumn id="4" name="MP"/>
    <x:tableColumn id="5" name="Starts"/>
    <x:tableColumn id="6" name="Min"/>
    <x:tableColumn id="7" name="90s"/>
    <x:tableColumn id="8" name="Gls"/>
    <x:tableColumn id="9" name="Ast"/>
    <x:tableColumn id="10" name="G+A"/>
    <x:tableColumn id="11" name="G-PK"/>
    <x:tableColumn id="12" name="PK"/>
    <x:tableColumn id="13" name="PKatt"/>
    <x:tableColumn id="14" name="CrdY"/>
    <x:tableColumn id="15" name="CrdR"/>
    <x:tableColumn id="16" name="Gls_2"/>
    <x:tableColumn id="17" name="Ast_2"/>
    <x:tableColumn id="18" name="G+A_2"/>
    <x:tableColumn id="19" name="G-PK_2"/>
    <x:tableColumn id="20" name="G+A-PK"/>
    <x:tableColumn id="21" name="Matches"/>
    <x:tableColumn id="22" name="Column22"/>
    <x:tableColumn id="23" name="Column23"/>
    <x:tableColumn id="24" name="Column24"/>
  </x:tableColumns>
  <x:tableStyleInfo name="TableStyleMedium2" showRowStripes="1"/>
</x:table>
</file>

<file path=xl/tables/table7.xml><?xml version="1.0" encoding="utf-8"?>
<x:table xmlns:x="http://schemas.openxmlformats.org/spreadsheetml/2006/main" id="7" name="FinalizacoesTbl" displayName="FinalizacoesTbl" ref="A1:R18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Finalizacoes_AgregadoTbl" displayName="Finalizacoes_AgregadoTbl" ref="A1:R8" headerRowCount="1">
  <x:tableColumns count="18">
    <x:tableColumn id="1" name="Country"/>
    <x:tableColumn id="2" name="Comp"/>
    <x:tableColumn id="3" name="LgRank"/>
    <x:tableColumn id="4" name="90s"/>
    <x:tableColumn id="5" name="Gls"/>
    <x:tableColumn id="6" name="Sh"/>
    <x:tableColumn id="7" name="SoT"/>
    <x:tableColumn id="8" name="SoT%"/>
    <x:tableColumn id="9" name="Sh/90"/>
    <x:tableColumn id="10" name="SoT/90"/>
    <x:tableColumn id="11" name="G/Sh"/>
    <x:tableColumn id="12" name="G/SoT"/>
    <x:tableColumn id="13" name="PK"/>
    <x:tableColumn id="14" name="PKatt"/>
    <x:tableColumn id="15" name="Matches"/>
    <x:tableColumn id="16" name="Column16"/>
    <x:tableColumn id="17" name="Column17"/>
    <x:tableColumn id="18" name="Column18"/>
  </x:tableColumns>
  <x:tableStyleInfo name="TableStyleMedium2" showRowStripes="1"/>
</x:table>
</file>

<file path=xl/tables/table9.xml><?xml version="1.0" encoding="utf-8"?>
<x:table xmlns:x="http://schemas.openxmlformats.org/spreadsheetml/2006/main" id="9" name="Tempo_JogoTbl" displayName="Tempo_JogoTbl" ref="A1:X18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10.xml><?xml version="1.0" encoding="utf-8"?>
<x:table xmlns:x="http://schemas.openxmlformats.org/spreadsheetml/2006/main" id="10" name="Tempo_AgregadoTbl" displayName="Tempo_AgregadoTbl" ref="A1:X8" headerRowCount="1">
  <x:tableColumns count="24">
    <x:tableColumn id="1" name="Country"/>
    <x:tableColumn id="2" name="Comp"/>
    <x:tableColumn id="3" name="LgRank"/>
    <x:tableColumn id="4" name="MP"/>
    <x:tableColumn id="5" name="Min"/>
    <x:tableColumn id="6" name="Mn/MP"/>
    <x:tableColumn id="7" name="Min%"/>
    <x:tableColumn id="8" name="90s"/>
    <x:tableColumn id="9" name="Starts"/>
    <x:tableColumn id="10" name="Mn/Start"/>
    <x:tableColumn id="11" name="Compl"/>
    <x:tableColumn id="12" name="Subs"/>
    <x:tableColumn id="13" name="Mn/Sub"/>
    <x:tableColumn id="14" name="unSub"/>
    <x:tableColumn id="15" name="PPM"/>
    <x:tableColumn id="16" name="onG"/>
    <x:tableColumn id="17" name="onGA"/>
    <x:tableColumn id="18" name="+/-"/>
    <x:tableColumn id="19" name="+/-90"/>
    <x:tableColumn id="20" name="On-Off"/>
    <x:tableColumn id="21" name="Matches"/>
    <x:tableColumn id="22" name="Column22"/>
    <x:tableColumn id="23" name="Column23"/>
    <x:tableColumn id="24" name="Column24"/>
  </x:tableColumns>
  <x:tableStyleInfo name="TableStyleMedium2" showRowStripes="1"/>
</x:table>
</file>

<file path=xl/tables/table11.xml><?xml version="1.0" encoding="utf-8"?>
<x:table xmlns:x="http://schemas.openxmlformats.org/spreadsheetml/2006/main" id="11" name="MiscTbl" displayName="MiscTbl" ref="A1:T18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12.xml><?xml version="1.0" encoding="utf-8"?>
<x:table xmlns:x="http://schemas.openxmlformats.org/spreadsheetml/2006/main" id="12" name="Misc_AgregadoTbl" displayName="Misc_AgregadoTbl" ref="A1:T8" headerRowCount="1">
  <x:tableColumns count="20">
    <x:tableColumn id="1" name="Country"/>
    <x:tableColumn id="2" name="Comp"/>
    <x:tableColumn id="3" name="LgRank"/>
    <x:tableColumn id="4" name="90s"/>
    <x:tableColumn id="5" name="CrdY"/>
    <x:tableColumn id="6" name="CrdR"/>
    <x:tableColumn id="7" name="2CrdY"/>
    <x:tableColumn id="8" name="Fls"/>
    <x:tableColumn id="9" name="Fld"/>
    <x:tableColumn id="10" name="Off"/>
    <x:tableColumn id="11" name="Crs"/>
    <x:tableColumn id="12" name="Int"/>
    <x:tableColumn id="13" name="TklW"/>
    <x:tableColumn id="14" name="PKwon"/>
    <x:tableColumn id="15" name="PKcon"/>
    <x:tableColumn id="16" name="OG"/>
    <x:tableColumn id="17" name="Matches"/>
    <x:tableColumn id="18" name="Column18"/>
    <x:tableColumn id="19" name="Column19"/>
    <x:tableColumn id="20" name="Column20"/>
  </x:tableColumns>
  <x:tableStyleInfo name="TableStyleMedium2" showRowStripes="1"/>
</x:table>
</file>

<file path=xl/tables/table13.xml><?xml version="1.0" encoding="utf-8"?>
<x:table xmlns:x="http://schemas.openxmlformats.org/spreadsheetml/2006/main" id="13" name="Resumo_ClubesTbl" displayName="Resumo_ClubesTbl" ref="A1:R18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Dom_MP"/>
    <x:tableColumn id="7" name="Dom_Min"/>
    <x:tableColumn id="8" name="Dom_GA"/>
    <x:tableColumn id="9" name="Dom_CS"/>
    <x:tableColumn id="10" name="IntCup_MP"/>
    <x:tableColumn id="11" name="IntCup_Min"/>
    <x:tableColumn id="12" name="IntCup_GA"/>
    <x:tableColumn id="13" name="IntCup_CS"/>
    <x:tableColumn id="14" name="All_MP"/>
    <x:tableColumn id="15" name="All_Min"/>
    <x:tableColumn id="16" name="All_GA"/>
    <x:tableColumn id="17" name="All_CS"/>
    <x:tableColumn id="18" name="Matches"/>
  </x:tableColumns>
  <x:tableStyleInfo name="TableStyleMedium2" showRowStripes="1"/>
</x:table>
</file>

<file path=xl/tables/table14.xml><?xml version="1.0" encoding="utf-8"?>
<x:table xmlns:x="http://schemas.openxmlformats.org/spreadsheetml/2006/main" id="14" name="Resumo_AgregadoTbl" displayName="Resumo_AgregadoTbl" ref="A1:R2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Dom_MP"/>
    <x:tableColumn id="7" name="Dom_Min"/>
    <x:tableColumn id="8" name="Dom_GA"/>
    <x:tableColumn id="9" name="Dom_CS"/>
    <x:tableColumn id="10" name="IntCup_MP"/>
    <x:tableColumn id="11" name="IntCup_Min"/>
    <x:tableColumn id="12" name="IntCup_GA"/>
    <x:tableColumn id="13" name="IntCup_CS"/>
    <x:tableColumn id="14" name="All_MP"/>
    <x:tableColumn id="15" name="All_Min"/>
    <x:tableColumn id="16" name="All_GA"/>
    <x:tableColumn id="17" name="All_CS"/>
    <x:tableColumn id="18" name="Match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5b14600a04f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6164f520fa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1f1071ea604d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c62ee8a5324f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cdaa24e8a34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96eac5b44e46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1a9926f04d84f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65a6d9bc98249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22517cc138e44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9e79fbb11af46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254fd4497ff47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7c593b1a94a44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1caeba949ba4c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2137bf6515b49a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4d91d7cea0e947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2" t="str">
        <x:v>Campo</x:v>
      </x:c>
      <x:c r="B1" s="12" t="str">
        <x:v>Valor</x:v>
      </x:c>
    </x:row>
    <x:row r="2">
      <x:c r="A2" s="13" t="str">
        <x:v>Nome</x:v>
      </x:c>
      <x:c r="B2" s="13" t="str">
        <x:v>Cássio</x:v>
      </x:c>
    </x:row>
    <x:row r="3">
      <x:c r="A3" s="13" t="str">
        <x:v>Nome completo</x:v>
      </x:c>
      <x:c r="B3" s="13" t="str">
        <x:v>Cássio Ramos</x:v>
      </x:c>
    </x:row>
    <x:row r="4">
      <x:c r="A4" s="13" t="str">
        <x:v>Posição</x:v>
      </x:c>
      <x:c r="B4" s="13" t="str">
        <x:v>GK</x:v>
      </x:c>
    </x:row>
    <x:row r="5">
      <x:c r="A5" s="13" t="str">
        <x:v>Pé dominante</x:v>
      </x:c>
      <x:c r="B5" s="13" t="str">
        <x:v>Right</x:v>
      </x:c>
    </x:row>
    <x:row r="6">
      <x:c r="A6" s="13" t="str">
        <x:v>Altura</x:v>
      </x:c>
      <x:c r="B6" s="13" t="str">
        <x:v>195 cm</x:v>
      </x:c>
    </x:row>
    <x:row r="7">
      <x:c r="A7" s="13" t="str">
        <x:v>Peso</x:v>
      </x:c>
      <x:c r="B7" s="13" t="str">
        <x:v>101 kg</x:v>
      </x:c>
    </x:row>
    <x:row r="8">
      <x:c r="A8" s="13" t="str">
        <x:v>Nascimento</x:v>
      </x:c>
      <x:c r="B8" s="13" t="str">
        <x:v>June 6, 1987</x:v>
      </x:c>
    </x:row>
    <x:row r="9">
      <x:c r="A9" s="13" t="str">
        <x:v>Idade no texto</x:v>
      </x:c>
      <x:c r="B9" s="13" t="str">
        <x:v>39-001d</x:v>
      </x:c>
    </x:row>
    <x:row r="10">
      <x:c r="A10" s="13" t="str">
        <x:v>Naturalidade</x:v>
      </x:c>
      <x:c r="B10" s="13" t="str">
        <x:v>Veranópolis, Brazil</x:v>
      </x:c>
    </x:row>
    <x:row r="11">
      <x:c r="A11" s="13" t="str">
        <x:v>Seleção</x:v>
      </x:c>
      <x:c r="B11" s="13" t="str">
        <x:v>Brazil</x:v>
      </x:c>
    </x:row>
    <x:row r="12">
      <x:c r="A12" s="13" t="str">
        <x:v>Clube atual</x:v>
      </x:c>
      <x:c r="B12" s="13" t="str">
        <x:v>Cruzeiro</x:v>
      </x:c>
    </x:row>
    <x:row r="13">
      <x:c r="A13" s="13" t="str">
        <x:v>Título destacado</x:v>
      </x:c>
      <x:c r="B13" s="13" t="str">
        <x:v>2x Série A Champion</x:v>
      </x:c>
    </x:row>
    <x:row r="14">
      <x:c r="A14" s="13" t="str">
        <x:v>Competição destaque 2026</x:v>
      </x:c>
      <x:c r="B14" s="13" t="str">
        <x:v>Série A</x:v>
      </x:c>
    </x:row>
    <x:row r="15">
      <x:c r="A15" s="13" t="str">
        <x:v>MP 2026</x:v>
      </x:c>
      <x:c r="B15" s="13" t="n">
        <x:v>5</x:v>
      </x:c>
    </x:row>
    <x:row r="16">
      <x:c r="A16" s="13" t="str">
        <x:v>GA 2026</x:v>
      </x:c>
      <x:c r="B16" s="13" t="n">
        <x:v>10</x:v>
      </x:c>
    </x:row>
    <x:row r="17">
      <x:c r="A17" s="13" t="str">
        <x:v>SoTA 2026</x:v>
      </x:c>
      <x:c r="B17" s="13" t="n">
        <x:v>24</x:v>
      </x:c>
    </x:row>
    <x:row r="18">
      <x:c r="A18" s="13" t="str">
        <x:v>Save% 2026</x:v>
      </x:c>
      <x:c r="B18" s="13" t="n">
        <x:v>58.3</x:v>
      </x:c>
    </x:row>
    <x:row r="19">
      <x:c r="A19" s="13" t="str">
        <x:v>GA90 2026</x:v>
      </x:c>
      <x:c r="B19" s="13" t="n">
        <x:v>2.14</x:v>
      </x:c>
    </x:row>
  </x:sheetData>
  <x:pageMargins left="0.7" right="0.7" top="0.75" bottom="0.75" header="0.3" footer="0.3"/>
  <x:tableParts count="1">
    <x:tablePart xmlns:r="http://schemas.openxmlformats.org/officeDocument/2006/relationships" r:id="R5f35b14600a04f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2" t="str">
        <x:v>Date</x:v>
      </x:c>
      <x:c r="B1" s="12" t="str">
        <x:v>Day</x:v>
      </x:c>
      <x:c r="C1" s="12" t="str">
        <x:v>Round</x:v>
      </x:c>
      <x:c r="D1" s="12" t="str">
        <x:v>Venue</x:v>
      </x:c>
      <x:c r="E1" s="12" t="str">
        <x:v>Result</x:v>
      </x:c>
      <x:c r="F1" s="12" t="str">
        <x:v>Squad</x:v>
      </x:c>
      <x:c r="G1" s="12" t="str">
        <x:v>Opponent</x:v>
      </x:c>
      <x:c r="H1" s="12" t="str">
        <x:v>Start</x:v>
      </x:c>
      <x:c r="I1" s="12" t="str">
        <x:v>Pos</x:v>
      </x:c>
      <x:c r="J1" s="12" t="str">
        <x:v>Min</x:v>
      </x:c>
      <x:c r="K1" s="12" t="str">
        <x:v>SoTA</x:v>
      </x:c>
      <x:c r="L1" s="12" t="str">
        <x:v>GA</x:v>
      </x:c>
      <x:c r="M1" s="12" t="str">
        <x:v>Saves</x:v>
      </x:c>
      <x:c r="N1" s="12" t="str">
        <x:v>Save%</x:v>
      </x:c>
      <x:c r="O1" s="12" t="str">
        <x:v>CS</x:v>
      </x:c>
      <x:c r="P1" s="12" t="str">
        <x:v>PKatt</x:v>
      </x:c>
      <x:c r="Q1" s="12" t="str">
        <x:v>PKA</x:v>
      </x:c>
      <x:c r="R1" s="12" t="str">
        <x:v>PKsv</x:v>
      </x:c>
      <x:c r="S1" s="12" t="str">
        <x:v>PKm</x:v>
      </x:c>
      <x:c r="T1" s="12" t="str">
        <x:v>Match Report</x:v>
      </x:c>
    </x:row>
    <x:row r="2">
      <x:c r="A2" s="16" t="str">
        <x:v>2026-03-11</x:v>
      </x:c>
      <x:c r="B2" s="13" t="str">
        <x:v>Wed</x:v>
      </x:c>
      <x:c r="C2" s="13" t="str">
        <x:v>Matchweek 5</x:v>
      </x:c>
      <x:c r="D2" s="13" t="str">
        <x:v>Away</x:v>
      </x:c>
      <x:c r="E2" s="13" t="str">
        <x:v>L 0–2</x:v>
      </x:c>
      <x:c r="F2" s="13" t="str">
        <x:v>Cruzeiro</x:v>
      </x:c>
      <x:c r="G2" s="13" t="str">
        <x:v>Flamengo</x:v>
      </x:c>
      <x:c r="H2" s="13" t="str">
        <x:v>Y</x:v>
      </x:c>
      <x:c r="I2" s="13" t="str">
        <x:v>GK</x:v>
      </x:c>
      <x:c r="J2" s="13" t="n">
        <x:v>61</x:v>
      </x:c>
      <x:c r="K2" s="13" t="n">
        <x:v>4</x:v>
      </x:c>
      <x:c r="L2" s="13" t="n">
        <x:v>1</x:v>
      </x:c>
      <x:c r="M2" s="13" t="n">
        <x:v>3</x:v>
      </x:c>
      <x:c r="N2" s="13" t="n">
        <x:v>75</x:v>
      </x:c>
      <x:c r="O2" s="13" t="n">
        <x:v>0</x:v>
      </x:c>
      <x:c r="P2" s="13" t="n">
        <x:v>0</x:v>
      </x:c>
      <x:c r="Q2" s="13" t="n">
        <x:v>0</x:v>
      </x:c>
      <x:c r="R2" s="13" t="n">
        <x:v>0</x:v>
      </x:c>
      <x:c r="S2" s="13" t="n">
        <x:v>0</x:v>
      </x:c>
      <x:c r="T2" s="13" t="str">
        <x:v>Match Report</x:v>
      </x:c>
    </x:row>
    <x:row r="3">
      <x:c r="A3" s="16" t="str">
        <x:v>2026-02-25</x:v>
      </x:c>
      <x:c r="B3" s="13" t="str">
        <x:v>Wed</x:v>
      </x:c>
      <x:c r="C3" s="13" t="str">
        <x:v>Matchweek 4</x:v>
      </x:c>
      <x:c r="D3" s="13" t="str">
        <x:v>Home</x:v>
      </x:c>
      <x:c r="E3" s="13" t="str">
        <x:v>D 1–1</x:v>
      </x:c>
      <x:c r="F3" s="13" t="str">
        <x:v>Cruzeiro</x:v>
      </x:c>
      <x:c r="G3" s="13" t="str">
        <x:v>Corinthians</x:v>
      </x:c>
      <x:c r="H3" s="13" t="str">
        <x:v>Y</x:v>
      </x:c>
      <x:c r="I3" s="13" t="str">
        <x:v>GK</x:v>
      </x:c>
      <x:c r="J3" s="13" t="n">
        <x:v>90</x:v>
      </x:c>
      <x:c r="K3" s="13" t="n">
        <x:v>2</x:v>
      </x:c>
      <x:c r="L3" s="13" t="n">
        <x:v>1</x:v>
      </x:c>
      <x:c r="M3" s="13" t="n">
        <x:v>1</x:v>
      </x:c>
      <x:c r="N3" s="13" t="n">
        <x:v>50</x:v>
      </x:c>
      <x:c r="O3" s="13" t="n">
        <x:v>0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str">
        <x:v>Match Report</x:v>
      </x:c>
    </x:row>
    <x:row r="4">
      <x:c r="A4" s="16" t="str">
        <x:v>2026-02-11</x:v>
      </x:c>
      <x:c r="B4" s="13" t="str">
        <x:v>Wed</x:v>
      </x:c>
      <x:c r="C4" s="13" t="str">
        <x:v>Matchweek 3</x:v>
      </x:c>
      <x:c r="D4" s="13" t="str">
        <x:v>Away</x:v>
      </x:c>
      <x:c r="E4" s="13" t="str">
        <x:v>D 2–2</x:v>
      </x:c>
      <x:c r="F4" s="13" t="str">
        <x:v>Cruzeiro</x:v>
      </x:c>
      <x:c r="G4" s="13" t="str">
        <x:v>Mirassol</x:v>
      </x:c>
      <x:c r="H4" s="13" t="str">
        <x:v>Y</x:v>
      </x:c>
      <x:c r="I4" s="13" t="str">
        <x:v>GK</x:v>
      </x:c>
      <x:c r="J4" s="13" t="n">
        <x:v>90</x:v>
      </x:c>
      <x:c r="K4" s="13" t="n">
        <x:v>11</x:v>
      </x:c>
      <x:c r="L4" s="13" t="n">
        <x:v>2</x:v>
      </x:c>
      <x:c r="M4" s="13" t="n">
        <x:v>9</x:v>
      </x:c>
      <x:c r="N4" s="13" t="n">
        <x:v>81.8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0</x:v>
      </x:c>
      <x:c r="T4" s="13" t="str">
        <x:v>Match Report</x:v>
      </x:c>
    </x:row>
    <x:row r="5">
      <x:c r="A5" s="16" t="str">
        <x:v>2026-02-05</x:v>
      </x:c>
      <x:c r="B5" s="13" t="str">
        <x:v>Thu</x:v>
      </x:c>
      <x:c r="C5" s="13" t="str">
        <x:v>Matchweek 2</x:v>
      </x:c>
      <x:c r="D5" s="13" t="str">
        <x:v>Home</x:v>
      </x:c>
      <x:c r="E5" s="13" t="str">
        <x:v>L 1–2</x:v>
      </x:c>
      <x:c r="F5" s="13" t="str">
        <x:v>Cruzeiro</x:v>
      </x:c>
      <x:c r="G5" s="13" t="str">
        <x:v>Coritiba</x:v>
      </x:c>
      <x:c r="H5" s="13" t="str">
        <x:v>Y</x:v>
      </x:c>
      <x:c r="I5" s="13" t="str">
        <x:v>GK</x:v>
      </x:c>
      <x:c r="J5" s="13" t="n">
        <x:v>90</x:v>
      </x:c>
      <x:c r="K5" s="13" t="n">
        <x:v>2</x:v>
      </x:c>
      <x:c r="L5" s="13" t="n">
        <x:v>2</x:v>
      </x:c>
      <x:c r="M5" s="13" t="n">
        <x:v>0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str">
        <x:v>Match Report</x:v>
      </x:c>
    </x:row>
    <x:row r="6">
      <x:c r="A6" s="16" t="str">
        <x:v>2026-01-29</x:v>
      </x:c>
      <x:c r="B6" s="13" t="str">
        <x:v>Thu</x:v>
      </x:c>
      <x:c r="C6" s="13" t="str">
        <x:v>Matchweek 1</x:v>
      </x:c>
      <x:c r="D6" s="13" t="str">
        <x:v>Away</x:v>
      </x:c>
      <x:c r="E6" s="13" t="str">
        <x:v>L 0–4</x:v>
      </x:c>
      <x:c r="F6" s="13" t="str">
        <x:v>Cruzeiro</x:v>
      </x:c>
      <x:c r="G6" s="13" t="str">
        <x:v>Botafogo (RJ)</x:v>
      </x:c>
      <x:c r="H6" s="13" t="str">
        <x:v>Y</x:v>
      </x:c>
      <x:c r="I6" s="13" t="str">
        <x:v>GK</x:v>
      </x:c>
      <x:c r="J6" s="13" t="n">
        <x:v>90</x:v>
      </x:c>
      <x:c r="K6" s="13" t="n">
        <x:v>5</x:v>
      </x:c>
      <x:c r="L6" s="13" t="n">
        <x:v>4</x:v>
      </x:c>
      <x:c r="M6" s="13" t="n">
        <x:v>1</x:v>
      </x:c>
      <x:c r="N6" s="13" t="n">
        <x:v>20</x:v>
      </x:c>
      <x:c r="O6" s="13" t="n">
        <x:v>0</x:v>
      </x:c>
      <x:c r="P6" s="13" t="n">
        <x:v>0</x:v>
      </x:c>
      <x:c r="Q6" s="13" t="n">
        <x:v>0</x:v>
      </x:c>
      <x:c r="R6" s="13" t="n">
        <x:v>0</x:v>
      </x:c>
      <x:c r="S6" s="13" t="n">
        <x:v>0</x:v>
      </x:c>
      <x:c r="T6" s="13" t="str">
        <x:v>Match Report</x:v>
      </x:c>
    </x:row>
    <x:row r="7">
      <x:c r="A7" s="17"/>
    </x:row>
    <x:row r="8">
      <x:c r="A8" s="17"/>
    </x:row>
    <x:row r="9">
      <x:c r="A9" s="17"/>
    </x:row>
    <x:row r="10">
      <x:c r="A10" s="17"/>
    </x:row>
    <x:row r="11">
      <x:c r="A11" s="17"/>
    </x:row>
    <x:row r="12">
      <x:c r="A12" s="17"/>
    </x:row>
    <x:row r="13">
      <x:c r="A13" s="17"/>
    </x:row>
    <x:row r="14">
      <x:c r="A14" s="17"/>
    </x:row>
    <x:row r="15">
      <x:c r="A15" s="17"/>
    </x:row>
    <x:row r="16">
      <x:c r="A16" s="17"/>
    </x:row>
    <x:row r="17">
      <x:c r="A17" s="17"/>
    </x:row>
    <x:row r="18">
      <x:c r="A18" s="17"/>
    </x:row>
    <x:row r="19">
      <x:c r="A19" s="17"/>
    </x:row>
    <x:row r="20">
      <x:c r="A20" s="17"/>
    </x:row>
  </x:sheetData>
  <x:pageMargins left="0.7" right="0.7" top="0.75" bottom="0.75" header="0.3" footer="0.3"/>
  <x:tableParts count="1">
    <x:tablePart xmlns:r="http://schemas.openxmlformats.org/officeDocument/2006/relationships" r:id="R586164f520fa46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LgRank</x:v>
      </x:c>
      <x:c r="G1" s="12" t="str">
        <x:v>MP</x:v>
      </x:c>
      <x:c r="H1" s="12" t="str">
        <x:v>Starts</x:v>
      </x:c>
      <x:c r="I1" s="12" t="str">
        <x:v>Min</x:v>
      </x:c>
      <x:c r="J1" s="12" t="str">
        <x:v>90s</x:v>
      </x:c>
      <x:c r="K1" s="12" t="str">
        <x:v>GA</x:v>
      </x:c>
      <x:c r="L1" s="12" t="str">
        <x:v>GA90</x:v>
      </x:c>
      <x:c r="M1" s="12" t="str">
        <x:v>SoTA</x:v>
      </x:c>
      <x:c r="N1" s="12" t="str">
        <x:v>Saves</x:v>
      </x:c>
      <x:c r="O1" s="12" t="str">
        <x:v>Save%</x:v>
      </x:c>
      <x:c r="P1" s="12" t="str">
        <x:v>W</x:v>
      </x:c>
      <x:c r="Q1" s="12" t="str">
        <x:v>D</x:v>
      </x:c>
      <x:c r="R1" s="12" t="str">
        <x:v>L</x:v>
      </x:c>
      <x:c r="S1" s="12" t="str">
        <x:v>CS</x:v>
      </x:c>
      <x:c r="T1" s="12" t="str">
        <x:v>CS%</x:v>
      </x:c>
      <x:c r="U1" s="12" t="str">
        <x:v>PKatt</x:v>
      </x:c>
      <x:c r="V1" s="12" t="str">
        <x:v>PKA</x:v>
      </x:c>
      <x:c r="W1" s="12" t="str">
        <x:v>PKsv</x:v>
      </x:c>
      <x:c r="X1" s="12" t="str">
        <x:v>PKm</x:v>
      </x:c>
      <x:c r="Y1" s="12" t="str">
        <x:v>Save%_2</x:v>
      </x:c>
      <x:c r="Z1" s="12" t="str">
        <x:v>Matches</x:v>
      </x:c>
    </x:row>
    <x:row r="2">
      <x:c r="A2" s="13" t="str">
        <x:v>2008-2009</x:v>
      </x:c>
      <x:c r="B2" s="13" t="n">
        <x:v>21</x:v>
      </x:c>
      <x:c r="C2" s="13" t="str">
        <x:v>Sparta Rotterdam</x:v>
      </x:c>
      <x:c r="D2" s="13" t="str">
        <x:v>nl NED</x:v>
      </x:c>
      <x:c r="E2" s="13" t="str">
        <x:v>1. Eredivisie</x:v>
      </x:c>
      <x:c r="F2" s="13" t="str">
        <x:v>13th</x:v>
      </x:c>
      <x:c r="G2" s="13" t="n">
        <x:v>14</x:v>
      </x:c>
      <x:c r="H2" s="13" t="n">
        <x:v>14</x:v>
      </x:c>
      <x:c r="I2" s="13" t="n">
        <x:v>1260</x:v>
      </x:c>
      <x:c r="J2" s="13" t="n">
        <x:v>14</x:v>
      </x:c>
      <x:c r="K2" s="13" t="n">
        <x:v>19</x:v>
      </x:c>
      <x:c r="L2" s="13" t="n">
        <x:v>1.36</x:v>
      </x:c>
      <x:c r="M2" s="13" t="n">
        <x:v>71</x:v>
      </x:c>
      <x:c r="N2" s="13" t="n">
        <x:v>52</x:v>
      </x:c>
      <x:c r="O2" s="13" t="n">
        <x:v>73.2</x:v>
      </x:c>
      <x:c r="P2" s="13" t="n">
        <x:v>4</x:v>
      </x:c>
      <x:c r="Q2" s="13" t="n">
        <x:v>2</x:v>
      </x:c>
      <x:c r="R2" s="13" t="n">
        <x:v>8</x:v>
      </x:c>
      <x:c r="S2" s="13" t="n">
        <x:v>5</x:v>
      </x:c>
      <x:c r="T2" s="13" t="n">
        <x:v>35.7</x:v>
      </x:c>
      <x:c r="U2" s="13"/>
      <x:c r="V2" s="13"/>
      <x:c r="W2" s="13"/>
      <x:c r="X2" s="13"/>
      <x:c r="Y2" s="13"/>
      <x:c r="Z2" s="13" t="str">
        <x:v>Matches</x:v>
      </x:c>
    </x:row>
    <x:row r="3">
      <x:c r="A3" s="13" t="str">
        <x:v>2008-2009</x:v>
      </x:c>
      <x:c r="B3" s="13" t="n">
        <x:v>21</x:v>
      </x:c>
      <x:c r="C3" s="13" t="str">
        <x:v>PSV</x:v>
      </x:c>
      <x:c r="D3" s="13" t="str">
        <x:v>nl NED</x:v>
      </x:c>
      <x:c r="E3" s="13" t="str">
        <x:v>1. Eredivisie</x:v>
      </x:c>
      <x:c r="F3" s="13" t="str">
        <x:v>4th</x:v>
      </x:c>
      <x:c r="G3" s="13" t="n">
        <x:v>1</x:v>
      </x:c>
      <x:c r="H3" s="13" t="n">
        <x:v>1</x:v>
      </x:c>
      <x:c r="I3" s="13" t="n">
        <x:v>90</x:v>
      </x:c>
      <x:c r="J3" s="13" t="n">
        <x:v>1</x:v>
      </x:c>
      <x:c r="K3" s="13" t="n">
        <x:v>1</x:v>
      </x:c>
      <x:c r="L3" s="13" t="n">
        <x:v>1</x:v>
      </x:c>
      <x:c r="M3" s="13" t="n">
        <x:v>4</x:v>
      </x:c>
      <x:c r="N3" s="13" t="n">
        <x:v>3</x:v>
      </x:c>
      <x:c r="O3" s="13" t="n">
        <x:v>75</x:v>
      </x:c>
      <x:c r="P3" s="13" t="n">
        <x:v>0</x:v>
      </x:c>
      <x:c r="Q3" s="13" t="n">
        <x:v>1</x:v>
      </x:c>
      <x:c r="R3" s="13" t="n">
        <x:v>0</x:v>
      </x:c>
      <x:c r="S3" s="13" t="n">
        <x:v>0</x:v>
      </x:c>
      <x:c r="T3" s="13" t="n">
        <x:v>0</x:v>
      </x:c>
      <x:c r="U3" s="13"/>
      <x:c r="V3" s="13"/>
      <x:c r="W3" s="13"/>
      <x:c r="X3" s="13"/>
      <x:c r="Y3" s="13"/>
      <x:c r="Z3" s="13" t="str">
        <x:v>Matches</x:v>
      </x:c>
    </x:row>
    <x:row r="4">
      <x:c r="A4" s="13" t="str">
        <x:v>2010-2011</x:v>
      </x:c>
      <x:c r="B4" s="13" t="n">
        <x:v>23</x:v>
      </x:c>
      <x:c r="C4" s="13" t="str">
        <x:v>PSV</x:v>
      </x:c>
      <x:c r="D4" s="13" t="str">
        <x:v>nl NED</x:v>
      </x:c>
      <x:c r="E4" s="13" t="str">
        <x:v>1. Eredivisie</x:v>
      </x:c>
      <x:c r="F4" s="13" t="str">
        <x:v>3rd</x:v>
      </x:c>
      <x:c r="G4" s="13" t="n">
        <x:v>2</x:v>
      </x:c>
      <x:c r="H4" s="13" t="n">
        <x:v>0</x:v>
      </x:c>
      <x:c r="I4" s="13" t="n">
        <x:v>131</x:v>
      </x:c>
      <x:c r="J4" s="13" t="n">
        <x:v>1.5</x:v>
      </x:c>
      <x:c r="K4" s="13" t="n">
        <x:v>3</x:v>
      </x:c>
      <x:c r="L4" s="13" t="n">
        <x:v>2.06</x:v>
      </x:c>
      <x:c r="M4" s="13" t="n">
        <x:v>8</x:v>
      </x:c>
      <x:c r="N4" s="13" t="n">
        <x:v>5</x:v>
      </x:c>
      <x:c r="O4" s="13" t="n">
        <x:v>62.5</x:v>
      </x:c>
      <x:c r="P4" s="13" t="n">
        <x:v>0</x:v>
      </x:c>
      <x:c r="Q4" s="13" t="n">
        <x:v>1</x:v>
      </x:c>
      <x:c r="R4" s="13" t="n">
        <x:v>1</x:v>
      </x:c>
      <x:c r="S4" s="13" t="n">
        <x:v>1</x:v>
      </x:c>
      <x:c r="T4" s="13"/>
      <x:c r="U4" s="13"/>
      <x:c r="V4" s="13"/>
      <x:c r="W4" s="13"/>
      <x:c r="X4" s="13"/>
      <x:c r="Y4" s="13"/>
      <x:c r="Z4" s="13" t="str">
        <x:v>Matches</x:v>
      </x:c>
    </x:row>
    <x:row r="5">
      <x:c r="A5" s="13" t="n">
        <x:v>2014</x:v>
      </x:c>
      <x:c r="B5" s="13" t="n">
        <x:v>26</x:v>
      </x:c>
      <x:c r="C5" s="13" t="str">
        <x:v>Corinthians</x:v>
      </x:c>
      <x:c r="D5" s="13" t="str">
        <x:v>br BRA</x:v>
      </x:c>
      <x:c r="E5" s="13" t="str">
        <x:v>1. Série A</x:v>
      </x:c>
      <x:c r="F5" s="13" t="str">
        <x:v>4th</x:v>
      </x:c>
      <x:c r="G5" s="13" t="n">
        <x:v>35</x:v>
      </x:c>
      <x:c r="H5" s="13" t="n">
        <x:v>35</x:v>
      </x:c>
      <x:c r="I5" s="13" t="n">
        <x:v>3069</x:v>
      </x:c>
      <x:c r="J5" s="13" t="n">
        <x:v>34.1</x:v>
      </x:c>
      <x:c r="K5" s="13"/>
      <x:c r="L5" s="13"/>
      <x:c r="M5" s="13" t="n">
        <x:v>0</x:v>
      </x:c>
      <x:c r="N5" s="13" t="n">
        <x:v>0</x:v>
      </x:c>
      <x:c r="O5" s="13"/>
      <x:c r="P5" s="13" t="n">
        <x:v>17</x:v>
      </x:c>
      <x:c r="Q5" s="13" t="n">
        <x:v>11</x:v>
      </x:c>
      <x:c r="R5" s="13" t="n">
        <x:v>7</x:v>
      </x:c>
      <x:c r="S5" s="13" t="n">
        <x:v>14</x:v>
      </x:c>
      <x:c r="T5" s="13" t="n">
        <x:v>40</x:v>
      </x:c>
      <x:c r="U5" s="13" t="n">
        <x:v>6</x:v>
      </x:c>
      <x:c r="V5" s="13" t="n">
        <x:v>5</x:v>
      </x:c>
      <x:c r="W5" s="13" t="n">
        <x:v>1</x:v>
      </x:c>
      <x:c r="X5" s="13" t="n">
        <x:v>0</x:v>
      </x:c>
      <x:c r="Y5" s="13" t="n">
        <x:v>16.7</x:v>
      </x:c>
      <x:c r="Z5" s="13" t="str">
        <x:v>Matches</x:v>
      </x:c>
    </x:row>
    <x:row r="6">
      <x:c r="A6" s="13" t="n">
        <x:v>2015</x:v>
      </x:c>
      <x:c r="B6" s="13" t="n">
        <x:v>27</x:v>
      </x:c>
      <x:c r="C6" s="13" t="str">
        <x:v>Corinthians</x:v>
      </x:c>
      <x:c r="D6" s="13" t="str">
        <x:v>br BRA</x:v>
      </x:c>
      <x:c r="E6" s="13" t="str">
        <x:v>1. Série A</x:v>
      </x:c>
      <x:c r="F6" s="13" t="str">
        <x:v>1st</x:v>
      </x:c>
      <x:c r="G6" s="13" t="n">
        <x:v>35</x:v>
      </x:c>
      <x:c r="H6" s="13" t="n">
        <x:v>35</x:v>
      </x:c>
      <x:c r="I6" s="13" t="n">
        <x:v>3105</x:v>
      </x:c>
      <x:c r="J6" s="13" t="n">
        <x:v>34.5</x:v>
      </x:c>
      <x:c r="K6" s="13"/>
      <x:c r="L6" s="13"/>
      <x:c r="M6" s="13" t="n">
        <x:v>0</x:v>
      </x:c>
      <x:c r="N6" s="13" t="n">
        <x:v>0</x:v>
      </x:c>
      <x:c r="O6" s="13"/>
      <x:c r="P6" s="13" t="n">
        <x:v>22</x:v>
      </x:c>
      <x:c r="Q6" s="13" t="n">
        <x:v>9</x:v>
      </x:c>
      <x:c r="R6" s="13" t="n">
        <x:v>4</x:v>
      </x:c>
      <x:c r="S6" s="13" t="n">
        <x:v>15</x:v>
      </x:c>
      <x:c r="T6" s="13" t="n">
        <x:v>42.9</x:v>
      </x:c>
      <x:c r="U6" s="13" t="n">
        <x:v>2</x:v>
      </x:c>
      <x:c r="V6" s="13" t="n">
        <x:v>0</x:v>
      </x:c>
      <x:c r="W6" s="13" t="n">
        <x:v>1</x:v>
      </x:c>
      <x:c r="X6" s="13" t="n">
        <x:v>1</x:v>
      </x:c>
      <x:c r="Y6" s="13" t="n">
        <x:v>100</x:v>
      </x:c>
      <x:c r="Z6" s="13" t="str">
        <x:v>Matches</x:v>
      </x:c>
    </x:row>
    <x:row r="7">
      <x:c r="A7" s="13" t="n">
        <x:v>2016</x:v>
      </x:c>
      <x:c r="B7" s="13" t="n">
        <x:v>28</x:v>
      </x:c>
      <x:c r="C7" s="13" t="str">
        <x:v>Corinthians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21</x:v>
      </x:c>
      <x:c r="H7" s="13" t="n">
        <x:v>19</x:v>
      </x:c>
      <x:c r="I7" s="13" t="n">
        <x:v>1784</x:v>
      </x:c>
      <x:c r="J7" s="13" t="n">
        <x:v>19.8</x:v>
      </x:c>
      <x:c r="K7" s="13" t="n">
        <x:v>26</x:v>
      </x:c>
      <x:c r="L7" s="13" t="n">
        <x:v>1.31</x:v>
      </x:c>
      <x:c r="M7" s="13" t="n">
        <x:v>70</x:v>
      </x:c>
      <x:c r="N7" s="13" t="n">
        <x:v>50</x:v>
      </x:c>
      <x:c r="O7" s="13" t="n">
        <x:v>70</x:v>
      </x:c>
      <x:c r="P7" s="13" t="n">
        <x:v>8</x:v>
      </x:c>
      <x:c r="Q7" s="13" t="n">
        <x:v>4</x:v>
      </x:c>
      <x:c r="R7" s="13" t="n">
        <x:v>7</x:v>
      </x:c>
      <x:c r="S7" s="13" t="n">
        <x:v>5</x:v>
      </x:c>
      <x:c r="T7" s="13" t="n">
        <x:v>26.3</x:v>
      </x:c>
      <x:c r="U7" s="13" t="n">
        <x:v>6</x:v>
      </x:c>
      <x:c r="V7" s="13" t="n">
        <x:v>5</x:v>
      </x:c>
      <x:c r="W7" s="13" t="n">
        <x:v>1</x:v>
      </x:c>
      <x:c r="X7" s="13" t="n">
        <x:v>0</x:v>
      </x:c>
      <x:c r="Y7" s="13" t="n">
        <x:v>16.7</x:v>
      </x:c>
      <x:c r="Z7" s="13" t="str">
        <x:v>Matches</x:v>
      </x:c>
    </x:row>
    <x:row r="8">
      <x:c r="A8" s="13" t="n">
        <x:v>2017</x:v>
      </x:c>
      <x:c r="B8" s="13" t="n">
        <x:v>29</x:v>
      </x:c>
      <x:c r="C8" s="13" t="str">
        <x:v>Corinthians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35</x:v>
      </x:c>
      <x:c r="H8" s="13" t="n">
        <x:v>35</x:v>
      </x:c>
      <x:c r="I8" s="13" t="n">
        <x:v>3150</x:v>
      </x:c>
      <x:c r="J8" s="13" t="n">
        <x:v>35</x:v>
      </x:c>
      <x:c r="K8" s="13" t="n">
        <x:v>29</x:v>
      </x:c>
      <x:c r="L8" s="13" t="n">
        <x:v>0.83</x:v>
      </x:c>
      <x:c r="M8" s="13" t="n">
        <x:v>128</x:v>
      </x:c>
      <x:c r="N8" s="13" t="n">
        <x:v>102</x:v>
      </x:c>
      <x:c r="O8" s="13" t="n">
        <x:v>78.1</x:v>
      </x:c>
      <x:c r="P8" s="13" t="n">
        <x:v>18</x:v>
      </x:c>
      <x:c r="Q8" s="13" t="n">
        <x:v>9</x:v>
      </x:c>
      <x:c r="R8" s="13" t="n">
        <x:v>8</x:v>
      </x:c>
      <x:c r="S8" s="13" t="n">
        <x:v>16</x:v>
      </x:c>
      <x:c r="T8" s="13" t="n">
        <x:v>45.7</x:v>
      </x:c>
      <x:c r="U8" s="13" t="n">
        <x:v>3</x:v>
      </x:c>
      <x:c r="V8" s="13" t="n">
        <x:v>1</x:v>
      </x:c>
      <x:c r="W8" s="13" t="n">
        <x:v>2</x:v>
      </x:c>
      <x:c r="X8" s="13" t="n">
        <x:v>0</x:v>
      </x:c>
      <x:c r="Y8" s="13" t="n">
        <x:v>66.7</x:v>
      </x:c>
      <x:c r="Z8" s="13" t="str">
        <x:v>Matches</x:v>
      </x:c>
    </x:row>
    <x:row r="9">
      <x:c r="A9" s="13" t="n">
        <x:v>2018</x:v>
      </x:c>
      <x:c r="B9" s="13" t="n">
        <x:v>30</x:v>
      </x:c>
      <x:c r="C9" s="13" t="str">
        <x:v>Corinthians</x:v>
      </x:c>
      <x:c r="D9" s="13" t="str">
        <x:v>br BRA</x:v>
      </x:c>
      <x:c r="E9" s="13" t="str">
        <x:v>1. Série A</x:v>
      </x:c>
      <x:c r="F9" s="13" t="str">
        <x:v>13th</x:v>
      </x:c>
      <x:c r="G9" s="13" t="n">
        <x:v>27</x:v>
      </x:c>
      <x:c r="H9" s="13" t="n">
        <x:v>27</x:v>
      </x:c>
      <x:c r="I9" s="13" t="n">
        <x:v>2378</x:v>
      </x:c>
      <x:c r="J9" s="13" t="n">
        <x:v>26.4</x:v>
      </x:c>
      <x:c r="K9" s="13" t="n">
        <x:v>24</x:v>
      </x:c>
      <x:c r="L9" s="13" t="n">
        <x:v>0.91</x:v>
      </x:c>
      <x:c r="M9" s="13" t="n">
        <x:v>109</x:v>
      </x:c>
      <x:c r="N9" s="13" t="n">
        <x:v>88</x:v>
      </x:c>
      <x:c r="O9" s="13" t="n">
        <x:v>80.7</x:v>
      </x:c>
      <x:c r="P9" s="13" t="n">
        <x:v>10</x:v>
      </x:c>
      <x:c r="Q9" s="13" t="n">
        <x:v>7</x:v>
      </x:c>
      <x:c r="R9" s="13" t="n">
        <x:v>10</x:v>
      </x:c>
      <x:c r="S9" s="13" t="n">
        <x:v>9</x:v>
      </x:c>
      <x:c r="T9" s="13" t="n">
        <x:v>33.3</x:v>
      </x:c>
      <x:c r="U9" s="13" t="n">
        <x:v>3</x:v>
      </x:c>
      <x:c r="V9" s="13" t="n">
        <x:v>3</x:v>
      </x:c>
      <x:c r="W9" s="13" t="n">
        <x:v>0</x:v>
      </x:c>
      <x:c r="X9" s="13" t="n">
        <x:v>0</x:v>
      </x:c>
      <x:c r="Y9" s="13" t="n">
        <x:v>0</x:v>
      </x:c>
      <x:c r="Z9" s="13" t="str">
        <x:v>Matches</x:v>
      </x:c>
    </x:row>
    <x:row r="10">
      <x:c r="A10" s="13" t="n">
        <x:v>2019</x:v>
      </x:c>
      <x:c r="B10" s="13" t="n">
        <x:v>31</x:v>
      </x:c>
      <x:c r="C10" s="13" t="str">
        <x:v>Corinthians</x:v>
      </x:c>
      <x:c r="D10" s="13" t="str">
        <x:v>br BRA</x:v>
      </x:c>
      <x:c r="E10" s="13" t="str">
        <x:v>1. Série A</x:v>
      </x:c>
      <x:c r="F10" s="13" t="str">
        <x:v>8th</x:v>
      </x:c>
      <x:c r="G10" s="13" t="n">
        <x:v>32</x:v>
      </x:c>
      <x:c r="H10" s="13" t="n">
        <x:v>32</x:v>
      </x:c>
      <x:c r="I10" s="13" t="n">
        <x:v>2860</x:v>
      </x:c>
      <x:c r="J10" s="13" t="n">
        <x:v>31.8</x:v>
      </x:c>
      <x:c r="K10" s="13" t="n">
        <x:v>28</x:v>
      </x:c>
      <x:c r="L10" s="13" t="n">
        <x:v>0.88</x:v>
      </x:c>
      <x:c r="M10" s="13" t="n">
        <x:v>102</x:v>
      </x:c>
      <x:c r="N10" s="13" t="n">
        <x:v>79</x:v>
      </x:c>
      <x:c r="O10" s="13" t="n">
        <x:v>76.5</x:v>
      </x:c>
      <x:c r="P10" s="13" t="n">
        <x:v>12</x:v>
      </x:c>
      <x:c r="Q10" s="13" t="n">
        <x:v>12</x:v>
      </x:c>
      <x:c r="R10" s="13" t="n">
        <x:v>8</x:v>
      </x:c>
      <x:c r="S10" s="13" t="n">
        <x:v>15</x:v>
      </x:c>
      <x:c r="T10" s="13" t="n">
        <x:v>46.9</x:v>
      </x:c>
      <x:c r="U10" s="13" t="n">
        <x:v>5</x:v>
      </x:c>
      <x:c r="V10" s="13" t="n">
        <x:v>4</x:v>
      </x:c>
      <x:c r="W10" s="13" t="n">
        <x:v>1</x:v>
      </x:c>
      <x:c r="X10" s="13" t="n">
        <x:v>0</x:v>
      </x:c>
      <x:c r="Y10" s="13" t="n">
        <x:v>20</x:v>
      </x:c>
      <x:c r="Z10" s="13" t="str">
        <x:v>Matches</x:v>
      </x:c>
    </x:row>
    <x:row r="11">
      <x:c r="A11" s="13" t="n">
        <x:v>2020</x:v>
      </x:c>
      <x:c r="B11" s="13" t="n">
        <x:v>32</x:v>
      </x:c>
      <x:c r="C11" s="13" t="str">
        <x:v>Corinthians</x:v>
      </x:c>
      <x:c r="D11" s="13" t="str">
        <x:v>br BRA</x:v>
      </x:c>
      <x:c r="E11" s="13" t="str">
        <x:v>1. Série A</x:v>
      </x:c>
      <x:c r="F11" s="13" t="str">
        <x:v>12th</x:v>
      </x:c>
      <x:c r="G11" s="13" t="n">
        <x:v>35</x:v>
      </x:c>
      <x:c r="H11" s="13" t="n">
        <x:v>35</x:v>
      </x:c>
      <x:c r="I11" s="13" t="n">
        <x:v>3142</x:v>
      </x:c>
      <x:c r="J11" s="13" t="n">
        <x:v>34.9</x:v>
      </x:c>
      <x:c r="K11" s="13" t="n">
        <x:v>45</x:v>
      </x:c>
      <x:c r="L11" s="13" t="n">
        <x:v>1.29</x:v>
      </x:c>
      <x:c r="M11" s="13" t="n">
        <x:v>156</x:v>
      </x:c>
      <x:c r="N11" s="13" t="n">
        <x:v>115</x:v>
      </x:c>
      <x:c r="O11" s="13" t="n">
        <x:v>73.7</x:v>
      </x:c>
      <x:c r="P11" s="13" t="n">
        <x:v>10</x:v>
      </x:c>
      <x:c r="Q11" s="13" t="n">
        <x:v>12</x:v>
      </x:c>
      <x:c r="R11" s="13" t="n">
        <x:v>13</x:v>
      </x:c>
      <x:c r="S11" s="13" t="n">
        <x:v>11</x:v>
      </x:c>
      <x:c r="T11" s="13" t="n">
        <x:v>31.4</x:v>
      </x:c>
      <x:c r="U11" s="13" t="n">
        <x:v>5</x:v>
      </x:c>
      <x:c r="V11" s="13" t="n">
        <x:v>4</x:v>
      </x:c>
      <x:c r="W11" s="13" t="n">
        <x:v>0</x:v>
      </x:c>
      <x:c r="X11" s="13" t="n">
        <x:v>1</x:v>
      </x:c>
      <x:c r="Y11" s="13" t="n">
        <x:v>0</x:v>
      </x:c>
      <x:c r="Z11" s="13" t="str">
        <x:v>Matches</x:v>
      </x:c>
    </x:row>
    <x:row r="12">
      <x:c r="A12" s="13" t="n">
        <x:v>2021</x:v>
      </x:c>
      <x:c r="B12" s="13" t="n">
        <x:v>33</x:v>
      </x:c>
      <x:c r="C12" s="13" t="str">
        <x:v>Corinthians</x:v>
      </x:c>
      <x:c r="D12" s="13" t="str">
        <x:v>br BRA</x:v>
      </x:c>
      <x:c r="E12" s="13" t="str">
        <x:v>1. Série A</x:v>
      </x:c>
      <x:c r="F12" s="13" t="str">
        <x:v>5th</x:v>
      </x:c>
      <x:c r="G12" s="13" t="n">
        <x:v>37</x:v>
      </x:c>
      <x:c r="H12" s="13" t="n">
        <x:v>37</x:v>
      </x:c>
      <x:c r="I12" s="13" t="n">
        <x:v>3330</x:v>
      </x:c>
      <x:c r="J12" s="13" t="n">
        <x:v>37</x:v>
      </x:c>
      <x:c r="K12" s="13" t="n">
        <x:v>36</x:v>
      </x:c>
      <x:c r="L12" s="13" t="n">
        <x:v>0.97</x:v>
      </x:c>
      <x:c r="M12" s="13" t="n">
        <x:v>157</x:v>
      </x:c>
      <x:c r="N12" s="13" t="n">
        <x:v>122</x:v>
      </x:c>
      <x:c r="O12" s="13" t="n">
        <x:v>78.3</x:v>
      </x:c>
      <x:c r="P12" s="13" t="n">
        <x:v>14</x:v>
      </x:c>
      <x:c r="Q12" s="13" t="n">
        <x:v>12</x:v>
      </x:c>
      <x:c r="R12" s="13" t="n">
        <x:v>11</x:v>
      </x:c>
      <x:c r="S12" s="13" t="n">
        <x:v>11</x:v>
      </x:c>
      <x:c r="T12" s="13" t="n">
        <x:v>29.7</x:v>
      </x:c>
      <x:c r="U12" s="13" t="n">
        <x:v>2</x:v>
      </x:c>
      <x:c r="V12" s="13" t="n">
        <x:v>2</x:v>
      </x:c>
      <x:c r="W12" s="13" t="n">
        <x:v>0</x:v>
      </x:c>
      <x:c r="X12" s="13" t="n">
        <x:v>0</x:v>
      </x:c>
      <x:c r="Y12" s="13" t="n">
        <x:v>0</x:v>
      </x:c>
      <x:c r="Z12" s="13" t="str">
        <x:v>Matches</x:v>
      </x:c>
    </x:row>
    <x:row r="13">
      <x:c r="A13" s="13" t="n">
        <x:v>2022</x:v>
      </x:c>
      <x:c r="B13" s="13" t="n">
        <x:v>34</x:v>
      </x:c>
      <x:c r="C13" s="13" t="str">
        <x:v>Corinthians</x:v>
      </x:c>
      <x:c r="D13" s="13" t="str">
        <x:v>br BRA</x:v>
      </x:c>
      <x:c r="E13" s="13" t="str">
        <x:v>1. Série A</x:v>
      </x:c>
      <x:c r="F13" s="13" t="str">
        <x:v>4th</x:v>
      </x:c>
      <x:c r="G13" s="13" t="n">
        <x:v>34</x:v>
      </x:c>
      <x:c r="H13" s="13" t="n">
        <x:v>34</x:v>
      </x:c>
      <x:c r="I13" s="13" t="n">
        <x:v>3059</x:v>
      </x:c>
      <x:c r="J13" s="13" t="n">
        <x:v>34</x:v>
      </x:c>
      <x:c r="K13" s="13" t="n">
        <x:v>28</x:v>
      </x:c>
      <x:c r="L13" s="13" t="n">
        <x:v>0.82</x:v>
      </x:c>
      <x:c r="M13" s="13" t="n">
        <x:v>128</x:v>
      </x:c>
      <x:c r="N13" s="13" t="n">
        <x:v>106</x:v>
      </x:c>
      <x:c r="O13" s="13" t="n">
        <x:v>82.8</x:v>
      </x:c>
      <x:c r="P13" s="13" t="n">
        <x:v>16</x:v>
      </x:c>
      <x:c r="Q13" s="13" t="n">
        <x:v>11</x:v>
      </x:c>
      <x:c r="R13" s="13" t="n">
        <x:v>7</x:v>
      </x:c>
      <x:c r="S13" s="13" t="n">
        <x:v>14</x:v>
      </x:c>
      <x:c r="T13" s="13" t="n">
        <x:v>41.2</x:v>
      </x:c>
      <x:c r="U13" s="13" t="n">
        <x:v>6</x:v>
      </x:c>
      <x:c r="V13" s="13" t="n">
        <x:v>6</x:v>
      </x:c>
      <x:c r="W13" s="13" t="n">
        <x:v>0</x:v>
      </x:c>
      <x:c r="X13" s="13" t="n">
        <x:v>0</x:v>
      </x:c>
      <x:c r="Y13" s="13" t="n">
        <x:v>0</x:v>
      </x:c>
      <x:c r="Z13" s="13" t="str">
        <x:v>Matches</x:v>
      </x:c>
    </x:row>
    <x:row r="14">
      <x:c r="A14" s="13" t="n">
        <x:v>2023</x:v>
      </x:c>
      <x:c r="B14" s="13" t="n">
        <x:v>35</x:v>
      </x:c>
      <x:c r="C14" s="13" t="str">
        <x:v>Corinthians</x:v>
      </x:c>
      <x:c r="D14" s="13" t="str">
        <x:v>br BRA</x:v>
      </x:c>
      <x:c r="E14" s="13" t="str">
        <x:v>1. Série A</x:v>
      </x:c>
      <x:c r="F14" s="13" t="str">
        <x:v>13th</x:v>
      </x:c>
      <x:c r="G14" s="13" t="n">
        <x:v>37</x:v>
      </x:c>
      <x:c r="H14" s="13" t="n">
        <x:v>37</x:v>
      </x:c>
      <x:c r="I14" s="13" t="n">
        <x:v>3310</x:v>
      </x:c>
      <x:c r="J14" s="13" t="n">
        <x:v>36.8</x:v>
      </x:c>
      <x:c r="K14" s="13" t="n">
        <x:v>48</x:v>
      </x:c>
      <x:c r="L14" s="13" t="n">
        <x:v>1.31</x:v>
      </x:c>
      <x:c r="M14" s="13" t="n">
        <x:v>176</x:v>
      </x:c>
      <x:c r="N14" s="13" t="n">
        <x:v>134</x:v>
      </x:c>
      <x:c r="O14" s="13" t="n">
        <x:v>76.1</x:v>
      </x:c>
      <x:c r="P14" s="13" t="n">
        <x:v>11</x:v>
      </x:c>
      <x:c r="Q14" s="13" t="n">
        <x:v>14</x:v>
      </x:c>
      <x:c r="R14" s="13" t="n">
        <x:v>12</x:v>
      </x:c>
      <x:c r="S14" s="13" t="n">
        <x:v>9</x:v>
      </x:c>
      <x:c r="T14" s="13" t="n">
        <x:v>24.3</x:v>
      </x:c>
      <x:c r="U14" s="13" t="n">
        <x:v>7</x:v>
      </x:c>
      <x:c r="V14" s="13" t="n">
        <x:v>6</x:v>
      </x:c>
      <x:c r="W14" s="13" t="n">
        <x:v>0</x:v>
      </x:c>
      <x:c r="X14" s="13" t="n">
        <x:v>1</x:v>
      </x:c>
      <x:c r="Y14" s="13" t="n">
        <x:v>0</x:v>
      </x:c>
      <x:c r="Z14" s="13" t="str">
        <x:v>Matches</x:v>
      </x:c>
    </x:row>
    <x:row r="15">
      <x:c r="A15" s="13" t="n">
        <x:v>2024</x:v>
      </x:c>
      <x:c r="B15" s="13" t="n">
        <x:v>36</x:v>
      </x:c>
      <x:c r="C15" s="13" t="str">
        <x:v>Corinthians</x:v>
      </x:c>
      <x:c r="D15" s="13" t="str">
        <x:v>br BRA</x:v>
      </x:c>
      <x:c r="E15" s="13" t="str">
        <x:v>1. Série A</x:v>
      </x:c>
      <x:c r="F15" s="13" t="str">
        <x:v>7th</x:v>
      </x:c>
      <x:c r="G15" s="13" t="n">
        <x:v>3</x:v>
      </x:c>
      <x:c r="H15" s="13" t="n">
        <x:v>3</x:v>
      </x:c>
      <x:c r="I15" s="13" t="n">
        <x:v>270</x:v>
      </x:c>
      <x:c r="J15" s="13" t="n">
        <x:v>3</x:v>
      </x:c>
      <x:c r="K15" s="13" t="n">
        <x:v>3</x:v>
      </x:c>
      <x:c r="L15" s="13" t="n">
        <x:v>1</x:v>
      </x:c>
      <x:c r="M15" s="13" t="n">
        <x:v>14</x:v>
      </x:c>
      <x:c r="N15" s="13" t="n">
        <x:v>11</x:v>
      </x:c>
      <x:c r="O15" s="13" t="n">
        <x:v>78.6</x:v>
      </x:c>
      <x:c r="P15" s="13" t="n">
        <x:v>0</x:v>
      </x:c>
      <x:c r="Q15" s="13" t="n">
        <x:v>1</x:v>
      </x:c>
      <x:c r="R15" s="13" t="n">
        <x:v>2</x:v>
      </x:c>
      <x:c r="S15" s="13" t="n">
        <x:v>1</x:v>
      </x:c>
      <x:c r="T15" s="13" t="n">
        <x:v>33.3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/>
      <x:c r="Z15" s="13" t="str">
        <x:v>Matches</x:v>
      </x:c>
    </x:row>
    <x:row r="16">
      <x:c r="A16" s="13" t="n">
        <x:v>2024</x:v>
      </x:c>
      <x:c r="B16" s="13" t="n">
        <x:v>36</x:v>
      </x:c>
      <x:c r="C16" s="13" t="str">
        <x:v>Cruzeiro</x:v>
      </x:c>
      <x:c r="D16" s="13" t="str">
        <x:v>br BRA</x:v>
      </x:c>
      <x:c r="E16" s="13" t="str">
        <x:v>1. Série A</x:v>
      </x:c>
      <x:c r="F16" s="13" t="str">
        <x:v>9th</x:v>
      </x:c>
      <x:c r="G16" s="13" t="n">
        <x:v>21</x:v>
      </x:c>
      <x:c r="H16" s="13" t="n">
        <x:v>21</x:v>
      </x:c>
      <x:c r="I16" s="13" t="n">
        <x:v>1890</x:v>
      </x:c>
      <x:c r="J16" s="13" t="n">
        <x:v>21</x:v>
      </x:c>
      <x:c r="K16" s="13" t="n">
        <x:v>19</x:v>
      </x:c>
      <x:c r="L16" s="13" t="n">
        <x:v>0.9</x:v>
      </x:c>
      <x:c r="M16" s="13" t="n">
        <x:v>100</x:v>
      </x:c>
      <x:c r="N16" s="13" t="n">
        <x:v>82</x:v>
      </x:c>
      <x:c r="O16" s="13" t="n">
        <x:v>82</x:v>
      </x:c>
      <x:c r="P16" s="13" t="n">
        <x:v>6</x:v>
      </x:c>
      <x:c r="Q16" s="13" t="n">
        <x:v>8</x:v>
      </x:c>
      <x:c r="R16" s="13" t="n">
        <x:v>7</x:v>
      </x:c>
      <x:c r="S16" s="13" t="n">
        <x:v>6</x:v>
      </x:c>
      <x:c r="T16" s="13" t="n">
        <x:v>28.6</x:v>
      </x:c>
      <x:c r="U16" s="13" t="n">
        <x:v>1</x:v>
      </x:c>
      <x:c r="V16" s="13" t="n">
        <x:v>1</x:v>
      </x:c>
      <x:c r="W16" s="13" t="n">
        <x:v>0</x:v>
      </x:c>
      <x:c r="X16" s="13" t="n">
        <x:v>0</x:v>
      </x:c>
      <x:c r="Y16" s="13" t="n">
        <x:v>0</x:v>
      </x:c>
      <x:c r="Z16" s="13" t="str">
        <x:v>Matches</x:v>
      </x:c>
    </x:row>
    <x:row r="17">
      <x:c r="A17" s="13" t="n">
        <x:v>2025</x:v>
      </x:c>
      <x:c r="B17" s="13" t="n">
        <x:v>37</x:v>
      </x:c>
      <x:c r="C17" s="13" t="str">
        <x:v>Cruzeiro</x:v>
      </x:c>
      <x:c r="D17" s="13" t="str">
        <x:v>br BRA</x:v>
      </x:c>
      <x:c r="E17" s="13" t="str">
        <x:v>1. Série A</x:v>
      </x:c>
      <x:c r="F17" s="13" t="str">
        <x:v>3rd</x:v>
      </x:c>
      <x:c r="G17" s="13" t="n">
        <x:v>35</x:v>
      </x:c>
      <x:c r="H17" s="13" t="n">
        <x:v>35</x:v>
      </x:c>
      <x:c r="I17" s="13" t="n">
        <x:v>3086</x:v>
      </x:c>
      <x:c r="J17" s="13" t="n">
        <x:v>34.3</x:v>
      </x:c>
      <x:c r="K17" s="13" t="n">
        <x:v>27</x:v>
      </x:c>
      <x:c r="L17" s="13" t="n">
        <x:v>0.79</x:v>
      </x:c>
      <x:c r="M17" s="13" t="n">
        <x:v>132</x:v>
      </x:c>
      <x:c r="N17" s="13" t="n">
        <x:v>106</x:v>
      </x:c>
      <x:c r="O17" s="13" t="n">
        <x:v>80.3</x:v>
      </x:c>
      <x:c r="P17" s="13" t="n">
        <x:v>17</x:v>
      </x:c>
      <x:c r="Q17" s="13" t="n">
        <x:v>13</x:v>
      </x:c>
      <x:c r="R17" s="13" t="n">
        <x:v>5</x:v>
      </x:c>
      <x:c r="S17" s="13" t="n">
        <x:v>15</x:v>
      </x:c>
      <x:c r="T17" s="13" t="n">
        <x:v>42.9</x:v>
      </x:c>
      <x:c r="U17" s="13" t="n">
        <x:v>2</x:v>
      </x:c>
      <x:c r="V17" s="13" t="n">
        <x:v>1</x:v>
      </x:c>
      <x:c r="W17" s="13" t="n">
        <x:v>1</x:v>
      </x:c>
      <x:c r="X17" s="13" t="n">
        <x:v>0</x:v>
      </x:c>
      <x:c r="Y17" s="13" t="n">
        <x:v>50</x:v>
      </x:c>
      <x:c r="Z17" s="13" t="str">
        <x:v>Matches</x:v>
      </x:c>
    </x:row>
    <x:row r="18">
      <x:c r="A18" s="13" t="n">
        <x:v>2026</x:v>
      </x:c>
      <x:c r="B18" s="13" t="n">
        <x:v>38</x:v>
      </x:c>
      <x:c r="C18" s="13" t="str">
        <x:v>Cruzeiro</x:v>
      </x:c>
      <x:c r="D18" s="13" t="str">
        <x:v>br BRA</x:v>
      </x:c>
      <x:c r="E18" s="13" t="str">
        <x:v>1. Série A</x:v>
      </x:c>
      <x:c r="F18" s="13" t="str">
        <x:v>11th</x:v>
      </x:c>
      <x:c r="G18" s="13" t="n">
        <x:v>5</x:v>
      </x:c>
      <x:c r="H18" s="13" t="n">
        <x:v>5</x:v>
      </x:c>
      <x:c r="I18" s="13" t="n">
        <x:v>421</x:v>
      </x:c>
      <x:c r="J18" s="13" t="n">
        <x:v>4.7</x:v>
      </x:c>
      <x:c r="K18" s="13" t="n">
        <x:v>10</x:v>
      </x:c>
      <x:c r="L18" s="13" t="n">
        <x:v>2.14</x:v>
      </x:c>
      <x:c r="M18" s="13" t="n">
        <x:v>24</x:v>
      </x:c>
      <x:c r="N18" s="13" t="n">
        <x:v>14</x:v>
      </x:c>
      <x:c r="O18" s="13" t="n">
        <x:v>58.3</x:v>
      </x:c>
      <x:c r="P18" s="13" t="n">
        <x:v>0</x:v>
      </x:c>
      <x:c r="Q18" s="13" t="n">
        <x:v>2</x:v>
      </x:c>
      <x:c r="R18" s="13" t="n">
        <x:v>3</x:v>
      </x:c>
      <x:c r="S18" s="13" t="n">
        <x:v>0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/>
      <x:c r="Z18" s="13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671f1071ea604d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12" t="str">
        <x:v>Country</x:v>
      </x:c>
      <x:c r="B1" s="12" t="str">
        <x:v>Comp</x:v>
      </x:c>
      <x:c r="C1" s="12" t="str">
        <x:v>LgRank</x:v>
      </x:c>
      <x:c r="D1" s="12" t="str">
        <x:v>MP</x:v>
      </x:c>
      <x:c r="E1" s="12" t="str">
        <x:v>Starts</x:v>
      </x:c>
      <x:c r="F1" s="12" t="str">
        <x:v>Min</x:v>
      </x:c>
      <x:c r="G1" s="12" t="str">
        <x:v>90s</x:v>
      </x:c>
      <x:c r="H1" s="12" t="str">
        <x:v>GA</x:v>
      </x:c>
      <x:c r="I1" s="12" t="str">
        <x:v>GA90</x:v>
      </x:c>
      <x:c r="J1" s="12" t="str">
        <x:v>SoTA</x:v>
      </x:c>
      <x:c r="K1" s="12" t="str">
        <x:v>Saves</x:v>
      </x:c>
      <x:c r="L1" s="12" t="str">
        <x:v>Save%</x:v>
      </x:c>
      <x:c r="M1" s="12" t="str">
        <x:v>W</x:v>
      </x:c>
      <x:c r="N1" s="12" t="str">
        <x:v>D</x:v>
      </x:c>
      <x:c r="O1" s="12" t="str">
        <x:v>L</x:v>
      </x:c>
      <x:c r="P1" s="12" t="str">
        <x:v>CS</x:v>
      </x:c>
      <x:c r="Q1" s="12" t="str">
        <x:v>CS%</x:v>
      </x:c>
      <x:c r="R1" s="12" t="str">
        <x:v>PKatt</x:v>
      </x:c>
      <x:c r="S1" s="12" t="str">
        <x:v>PKA</x:v>
      </x:c>
      <x:c r="T1" s="12" t="str">
        <x:v>PKsv</x:v>
      </x:c>
      <x:c r="U1" s="12" t="str">
        <x:v>PKm</x:v>
      </x:c>
      <x:c r="V1" s="12" t="str">
        <x:v>Save%_2</x:v>
      </x:c>
      <x:c r="W1" s="12" t="str">
        <x:v>Matches</x:v>
      </x:c>
      <x:c r="X1" s="12"/>
      <x:c r="Y1" s="12"/>
      <x:c r="Z1" s="12"/>
    </x:row>
    <x:row r="2">
      <x:c r="A2" s="13" t="str">
        <x:v>Corinthians (11 Seasons)</x:v>
      </x:c>
      <x:c r="B2" s="13"/>
      <x:c r="C2" s="13" t="str">
        <x:v>1 League</x:v>
      </x:c>
      <x:c r="D2" s="13"/>
      <x:c r="E2" s="13" t="n">
        <x:v>331</x:v>
      </x:c>
      <x:c r="F2" s="13" t="n">
        <x:v>329</x:v>
      </x:c>
      <x:c r="G2" s="13" t="n">
        <x:v>29457</x:v>
      </x:c>
      <x:c r="H2" s="13" t="n">
        <x:v>327.3</x:v>
      </x:c>
      <x:c r="I2" s="13" t="n">
        <x:v>267</x:v>
      </x:c>
      <x:c r="J2" s="13" t="n">
        <x:v>1.03</x:v>
      </x:c>
      <x:c r="K2" s="13" t="n">
        <x:v>1040</x:v>
      </x:c>
      <x:c r="L2" s="13" t="n">
        <x:v>807</x:v>
      </x:c>
      <x:c r="M2" s="13" t="n">
        <x:v>77.3</x:v>
      </x:c>
      <x:c r="N2" s="13" t="n">
        <x:v>138</x:v>
      </x:c>
      <x:c r="O2" s="13" t="n">
        <x:v>102</x:v>
      </x:c>
      <x:c r="P2" s="13" t="n">
        <x:v>89</x:v>
      </x:c>
      <x:c r="Q2" s="13" t="n">
        <x:v>120</x:v>
      </x:c>
      <x:c r="R2" s="13" t="n">
        <x:v>36.5</x:v>
      </x:c>
      <x:c r="S2" s="13" t="n">
        <x:v>45</x:v>
      </x:c>
      <x:c r="T2" s="13" t="n">
        <x:v>36</x:v>
      </x:c>
      <x:c r="U2" s="13" t="n">
        <x:v>6</x:v>
      </x:c>
      <x:c r="V2" s="13" t="n">
        <x:v>3</x:v>
      </x:c>
      <x:c r="W2" s="13" t="n">
        <x:v>14.3</x:v>
      </x:c>
      <x:c r="X2" s="13"/>
      <x:c r="Y2" s="13"/>
      <x:c r="Z2" s="13"/>
    </x:row>
    <x:row r="3">
      <x:c r="A3" s="13" t="str">
        <x:v>Cruzeiro (3 Seasons)</x:v>
      </x:c>
      <x:c r="B3" s="13"/>
      <x:c r="C3" s="13" t="str">
        <x:v>1 League</x:v>
      </x:c>
      <x:c r="D3" s="13"/>
      <x:c r="E3" s="13" t="n">
        <x:v>61</x:v>
      </x:c>
      <x:c r="F3" s="13" t="n">
        <x:v>61</x:v>
      </x:c>
      <x:c r="G3" s="13" t="n">
        <x:v>5397</x:v>
      </x:c>
      <x:c r="H3" s="13" t="n">
        <x:v>60</x:v>
      </x:c>
      <x:c r="I3" s="13" t="n">
        <x:v>56</x:v>
      </x:c>
      <x:c r="J3" s="13" t="n">
        <x:v>0.93</x:v>
      </x:c>
      <x:c r="K3" s="13" t="n">
        <x:v>256</x:v>
      </x:c>
      <x:c r="L3" s="13" t="n">
        <x:v>202</x:v>
      </x:c>
      <x:c r="M3" s="13" t="n">
        <x:v>78.9</x:v>
      </x:c>
      <x:c r="N3" s="13" t="n">
        <x:v>23</x:v>
      </x:c>
      <x:c r="O3" s="13" t="n">
        <x:v>23</x:v>
      </x:c>
      <x:c r="P3" s="13" t="n">
        <x:v>15</x:v>
      </x:c>
      <x:c r="Q3" s="13" t="n">
        <x:v>21</x:v>
      </x:c>
      <x:c r="R3" s="13" t="n">
        <x:v>34.4</x:v>
      </x:c>
      <x:c r="S3" s="13" t="n">
        <x:v>3</x:v>
      </x:c>
      <x:c r="T3" s="13" t="n">
        <x:v>2</x:v>
      </x:c>
      <x:c r="U3" s="13" t="n">
        <x:v>1</x:v>
      </x:c>
      <x:c r="V3" s="13" t="n">
        <x:v>0</x:v>
      </x:c>
      <x:c r="W3" s="13" t="n">
        <x:v>33.3</x:v>
      </x:c>
      <x:c r="X3" s="13"/>
      <x:c r="Y3" s="13"/>
      <x:c r="Z3" s="13"/>
    </x:row>
    <x:row r="4">
      <x:c r="A4" s="13" t="str">
        <x:v>PSV (2 Seasons)</x:v>
      </x:c>
      <x:c r="B4" s="13"/>
      <x:c r="C4" s="13" t="str">
        <x:v>1 League</x:v>
      </x:c>
      <x:c r="D4" s="13"/>
      <x:c r="E4" s="13" t="n">
        <x:v>3</x:v>
      </x:c>
      <x:c r="F4" s="13" t="n">
        <x:v>1</x:v>
      </x:c>
      <x:c r="G4" s="13" t="n">
        <x:v>221</x:v>
      </x:c>
      <x:c r="H4" s="13" t="n">
        <x:v>2.5</x:v>
      </x:c>
      <x:c r="I4" s="13" t="n">
        <x:v>4</x:v>
      </x:c>
      <x:c r="J4" s="13" t="n">
        <x:v>1.63</x:v>
      </x:c>
      <x:c r="K4" s="13" t="n">
        <x:v>12</x:v>
      </x:c>
      <x:c r="L4" s="13" t="n">
        <x:v>8</x:v>
      </x:c>
      <x:c r="M4" s="13" t="n">
        <x:v>66.7</x:v>
      </x:c>
      <x:c r="N4" s="13" t="n">
        <x:v>0</x:v>
      </x:c>
      <x:c r="O4" s="13" t="n">
        <x:v>2</x:v>
      </x:c>
      <x:c r="P4" s="13" t="n">
        <x:v>1</x:v>
      </x:c>
      <x:c r="Q4" s="13" t="n">
        <x:v>1</x:v>
      </x:c>
      <x:c r="R4" s="13" t="n">
        <x:v>100</x:v>
      </x:c>
      <x:c r="S4" s="13"/>
      <x:c r="T4" s="13"/>
      <x:c r="U4" s="13"/>
      <x:c r="V4" s="13"/>
      <x:c r="W4" s="13"/>
      <x:c r="X4" s="13"/>
      <x:c r="Y4" s="13"/>
      <x:c r="Z4" s="13"/>
    </x:row>
    <x:row r="5">
      <x:c r="A5" s="13" t="str">
        <x:v>Sparta Rotterdam (1 Season)</x:v>
      </x:c>
      <x:c r="B5" s="13"/>
      <x:c r="C5" s="13" t="str">
        <x:v>1 League</x:v>
      </x:c>
      <x:c r="D5" s="13"/>
      <x:c r="E5" s="13" t="n">
        <x:v>14</x:v>
      </x:c>
      <x:c r="F5" s="13" t="n">
        <x:v>14</x:v>
      </x:c>
      <x:c r="G5" s="13" t="n">
        <x:v>1260</x:v>
      </x:c>
      <x:c r="H5" s="13" t="n">
        <x:v>14</x:v>
      </x:c>
      <x:c r="I5" s="13" t="n">
        <x:v>19</x:v>
      </x:c>
      <x:c r="J5" s="13" t="n">
        <x:v>1.36</x:v>
      </x:c>
      <x:c r="K5" s="13" t="n">
        <x:v>71</x:v>
      </x:c>
      <x:c r="L5" s="13" t="n">
        <x:v>52</x:v>
      </x:c>
      <x:c r="M5" s="13" t="n">
        <x:v>73.2</x:v>
      </x:c>
      <x:c r="N5" s="13" t="n">
        <x:v>4</x:v>
      </x:c>
      <x:c r="O5" s="13" t="n">
        <x:v>2</x:v>
      </x:c>
      <x:c r="P5" s="13" t="n">
        <x:v>8</x:v>
      </x:c>
      <x:c r="Q5" s="13" t="n">
        <x:v>5</x:v>
      </x:c>
      <x:c r="R5" s="13" t="n">
        <x:v>35.7</x:v>
      </x:c>
      <x:c r="S5" s="13"/>
      <x:c r="T5" s="13"/>
      <x:c r="U5" s="13"/>
      <x:c r="V5" s="13"/>
      <x:c r="W5" s="13"/>
      <x:c r="X5" s="13"/>
      <x:c r="Y5" s="13"/>
      <x:c r="Z5" s="13"/>
    </x:row>
    <x:row r="6">
      <x:c r="A6" s="13" t="str">
        <x:v>Série A (13 Seasons)</x:v>
      </x:c>
      <x:c r="B6" s="13"/>
      <x:c r="C6" s="13"/>
      <x:c r="D6" s="13"/>
      <x:c r="E6" s="13" t="n">
        <x:v>392</x:v>
      </x:c>
      <x:c r="F6" s="13" t="n">
        <x:v>390</x:v>
      </x:c>
      <x:c r="G6" s="13" t="n">
        <x:v>34854</x:v>
      </x:c>
      <x:c r="H6" s="13" t="n">
        <x:v>387.2</x:v>
      </x:c>
      <x:c r="I6" s="13" t="n">
        <x:v>323</x:v>
      </x:c>
      <x:c r="J6" s="13" t="n">
        <x:v>1.01</x:v>
      </x:c>
      <x:c r="K6" s="13" t="n">
        <x:v>1296</x:v>
      </x:c>
      <x:c r="L6" s="13" t="n">
        <x:v>1009</x:v>
      </x:c>
      <x:c r="M6" s="13" t="n">
        <x:v>77.6</x:v>
      </x:c>
      <x:c r="N6" s="13" t="n">
        <x:v>161</x:v>
      </x:c>
      <x:c r="O6" s="13" t="n">
        <x:v>125</x:v>
      </x:c>
      <x:c r="P6" s="13" t="n">
        <x:v>104</x:v>
      </x:c>
      <x:c r="Q6" s="13" t="n">
        <x:v>141</x:v>
      </x:c>
      <x:c r="R6" s="13" t="n">
        <x:v>36.2</x:v>
      </x:c>
      <x:c r="S6" s="13" t="n">
        <x:v>48</x:v>
      </x:c>
      <x:c r="T6" s="13" t="n">
        <x:v>38</x:v>
      </x:c>
      <x:c r="U6" s="13" t="n">
        <x:v>7</x:v>
      </x:c>
      <x:c r="V6" s="13" t="n">
        <x:v>3</x:v>
      </x:c>
      <x:c r="W6" s="13" t="n">
        <x:v>15.6</x:v>
      </x:c>
      <x:c r="X6" s="13"/>
      <x:c r="Y6" s="13"/>
      <x:c r="Z6" s="13"/>
    </x:row>
    <x:row r="7">
      <x:c r="A7" s="13" t="str">
        <x:v>Eredivisie (2 Seasons)</x:v>
      </x:c>
      <x:c r="B7" s="13"/>
      <x:c r="C7" s="13"/>
      <x:c r="D7" s="13"/>
      <x:c r="E7" s="13" t="n">
        <x:v>17</x:v>
      </x:c>
      <x:c r="F7" s="13" t="n">
        <x:v>15</x:v>
      </x:c>
      <x:c r="G7" s="13" t="n">
        <x:v>1481</x:v>
      </x:c>
      <x:c r="H7" s="13" t="n">
        <x:v>16.5</x:v>
      </x:c>
      <x:c r="I7" s="13" t="n">
        <x:v>23</x:v>
      </x:c>
      <x:c r="J7" s="13" t="n">
        <x:v>1.4</x:v>
      </x:c>
      <x:c r="K7" s="13" t="n">
        <x:v>83</x:v>
      </x:c>
      <x:c r="L7" s="13" t="n">
        <x:v>60</x:v>
      </x:c>
      <x:c r="M7" s="13" t="n">
        <x:v>72.3</x:v>
      </x:c>
      <x:c r="N7" s="13" t="n">
        <x:v>4</x:v>
      </x:c>
      <x:c r="O7" s="13" t="n">
        <x:v>4</x:v>
      </x:c>
      <x:c r="P7" s="13" t="n">
        <x:v>9</x:v>
      </x:c>
      <x:c r="Q7" s="13" t="n">
        <x:v>6</x:v>
      </x:c>
      <x:c r="R7" s="13" t="n">
        <x:v>40</x:v>
      </x:c>
      <x:c r="S7" s="13"/>
      <x:c r="T7" s="13"/>
      <x:c r="U7" s="13"/>
      <x:c r="V7" s="13"/>
      <x:c r="W7" s="13"/>
      <x:c r="X7" s="13"/>
      <x:c r="Y7" s="13"/>
      <x:c r="Z7" s="13"/>
    </x:row>
    <x:row r="8">
      <x:c r="A8" s="13" t="str">
        <x:v>15 Seasons</x:v>
      </x:c>
      <x:c r="B8" s="13" t="str">
        <x:v>4 Clubs</x:v>
      </x:c>
      <x:c r="C8" s="13"/>
      <x:c r="D8" s="13" t="str">
        <x:v>2 Leagues</x:v>
      </x:c>
      <x:c r="E8" s="13"/>
      <x:c r="F8" s="13" t="n">
        <x:v>409</x:v>
      </x:c>
      <x:c r="G8" s="13" t="n">
        <x:v>405</x:v>
      </x:c>
      <x:c r="H8" s="13" t="n">
        <x:v>36335</x:v>
      </x:c>
      <x:c r="I8" s="13" t="n">
        <x:v>403.7</x:v>
      </x:c>
      <x:c r="J8" s="13" t="n">
        <x:v>346</x:v>
      </x:c>
      <x:c r="K8" s="13" t="n">
        <x:v>1.03</x:v>
      </x:c>
      <x:c r="L8" s="13" t="n">
        <x:v>1379</x:v>
      </x:c>
      <x:c r="M8" s="13" t="n">
        <x:v>1069</x:v>
      </x:c>
      <x:c r="N8" s="13" t="n">
        <x:v>77.3</x:v>
      </x:c>
      <x:c r="O8" s="13" t="n">
        <x:v>165</x:v>
      </x:c>
      <x:c r="P8" s="13" t="n">
        <x:v>129</x:v>
      </x:c>
      <x:c r="Q8" s="13" t="n">
        <x:v>113</x:v>
      </x:c>
      <x:c r="R8" s="13" t="n">
        <x:v>147</x:v>
      </x:c>
      <x:c r="S8" s="13" t="n">
        <x:v>36.3</x:v>
      </x:c>
      <x:c r="T8" s="13" t="n">
        <x:v>48</x:v>
      </x:c>
      <x:c r="U8" s="13" t="n">
        <x:v>38</x:v>
      </x:c>
      <x:c r="V8" s="13" t="n">
        <x:v>7</x:v>
      </x:c>
      <x:c r="W8" s="13" t="n">
        <x:v>3</x:v>
      </x:c>
      <x:c r="X8" s="13" t="n">
        <x:v>15.6</x:v>
      </x:c>
      <x:c r="Y8" s="13"/>
      <x:c r="Z8" s="13"/>
    </x:row>
  </x:sheetData>
  <x:pageMargins left="0.7" right="0.7" top="0.75" bottom="0.75" header="0.3" footer="0.3"/>
  <x:tableParts count="1">
    <x:tablePart xmlns:r="http://schemas.openxmlformats.org/officeDocument/2006/relationships" r:id="R77c62ee8a5324f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LgRank</x:v>
      </x:c>
      <x:c r="G1" s="12" t="str">
        <x:v>MP</x:v>
      </x:c>
      <x:c r="H1" s="12" t="str">
        <x:v>Starts</x:v>
      </x:c>
      <x:c r="I1" s="12" t="str">
        <x:v>Min</x:v>
      </x:c>
      <x:c r="J1" s="12" t="str">
        <x:v>90s</x:v>
      </x:c>
      <x:c r="K1" s="12" t="str">
        <x:v>Gls</x:v>
      </x:c>
      <x:c r="L1" s="12" t="str">
        <x:v>Ast</x:v>
      </x:c>
      <x:c r="M1" s="12" t="str">
        <x:v>G+A</x:v>
      </x:c>
      <x:c r="N1" s="12" t="str">
        <x:v>G-PK</x:v>
      </x:c>
      <x:c r="O1" s="12" t="str">
        <x:v>PK</x:v>
      </x:c>
      <x:c r="P1" s="12" t="str">
        <x:v>PKatt</x:v>
      </x:c>
      <x:c r="Q1" s="12" t="str">
        <x:v>CrdY</x:v>
      </x:c>
      <x:c r="R1" s="12" t="str">
        <x:v>CrdR</x:v>
      </x:c>
      <x:c r="S1" s="12" t="str">
        <x:v>Gls_2</x:v>
      </x:c>
      <x:c r="T1" s="12" t="str">
        <x:v>Ast_2</x:v>
      </x:c>
      <x:c r="U1" s="12" t="str">
        <x:v>G+A_2</x:v>
      </x:c>
      <x:c r="V1" s="12" t="str">
        <x:v>G-PK_2</x:v>
      </x:c>
      <x:c r="W1" s="12" t="str">
        <x:v>G+A-PK</x:v>
      </x:c>
      <x:c r="X1" s="12" t="str">
        <x:v>Matches</x:v>
      </x:c>
    </x:row>
    <x:row r="2">
      <x:c r="A2" s="13" t="str">
        <x:v>2008-2009</x:v>
      </x:c>
      <x:c r="B2" s="13" t="n">
        <x:v>21</x:v>
      </x:c>
      <x:c r="C2" s="13" t="str">
        <x:v>Sparta Rotterdam</x:v>
      </x:c>
      <x:c r="D2" s="13" t="str">
        <x:v>nl NED</x:v>
      </x:c>
      <x:c r="E2" s="13" t="str">
        <x:v>1. Eredivisie</x:v>
      </x:c>
      <x:c r="F2" s="13" t="str">
        <x:v>13th</x:v>
      </x:c>
      <x:c r="G2" s="13" t="n">
        <x:v>14</x:v>
      </x:c>
      <x:c r="H2" s="13" t="n">
        <x:v>14</x:v>
      </x:c>
      <x:c r="I2" s="13" t="n">
        <x:v>1260</x:v>
      </x:c>
      <x:c r="J2" s="13" t="n">
        <x:v>14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0</x:v>
      </x:c>
      <x:c r="P2" s="13" t="n">
        <x:v>0</x:v>
      </x:c>
      <x:c r="Q2" s="13" t="n">
        <x:v>0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 t="n">
        <x:v>0</x:v>
      </x:c>
      <x:c r="W2" s="13" t="n">
        <x:v>0</x:v>
      </x:c>
      <x:c r="X2" s="13" t="str">
        <x:v>Matches</x:v>
      </x:c>
    </x:row>
    <x:row r="3">
      <x:c r="A3" s="13" t="str">
        <x:v>2008-2009</x:v>
      </x:c>
      <x:c r="B3" s="13" t="n">
        <x:v>21</x:v>
      </x:c>
      <x:c r="C3" s="13" t="str">
        <x:v>PSV</x:v>
      </x:c>
      <x:c r="D3" s="13" t="str">
        <x:v>nl NED</x:v>
      </x:c>
      <x:c r="E3" s="13" t="str">
        <x:v>1. Eredivisie</x:v>
      </x:c>
      <x:c r="F3" s="13" t="str">
        <x:v>4th</x:v>
      </x:c>
      <x:c r="G3" s="13" t="n">
        <x:v>1</x:v>
      </x:c>
      <x:c r="H3" s="13" t="n">
        <x:v>1</x:v>
      </x:c>
      <x:c r="I3" s="13" t="n">
        <x:v>90</x:v>
      </x:c>
      <x:c r="J3" s="13" t="n">
        <x:v>1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0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n">
        <x:v>0</x:v>
      </x:c>
      <x:c r="U3" s="13" t="n">
        <x:v>0</x:v>
      </x:c>
      <x:c r="V3" s="13" t="n">
        <x:v>0</x:v>
      </x:c>
      <x:c r="W3" s="13" t="n">
        <x:v>0</x:v>
      </x:c>
      <x:c r="X3" s="13" t="str">
        <x:v>Matches</x:v>
      </x:c>
    </x:row>
    <x:row r="4">
      <x:c r="A4" s="13" t="str">
        <x:v>2010-2011</x:v>
      </x:c>
      <x:c r="B4" s="13" t="n">
        <x:v>23</x:v>
      </x:c>
      <x:c r="C4" s="13" t="str">
        <x:v>PSV</x:v>
      </x:c>
      <x:c r="D4" s="13" t="str">
        <x:v>nl NED</x:v>
      </x:c>
      <x:c r="E4" s="13" t="str">
        <x:v>1. Eredivisie</x:v>
      </x:c>
      <x:c r="F4" s="13" t="str">
        <x:v>3rd</x:v>
      </x:c>
      <x:c r="G4" s="13" t="n">
        <x:v>2</x:v>
      </x:c>
      <x:c r="H4" s="13" t="n">
        <x:v>0</x:v>
      </x:c>
      <x:c r="I4" s="13" t="n">
        <x:v>131</x:v>
      </x:c>
      <x:c r="J4" s="13" t="n">
        <x:v>1.5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0</x:v>
      </x:c>
      <x:c r="W4" s="13" t="n">
        <x:v>0</x:v>
      </x:c>
      <x:c r="X4" s="13" t="str">
        <x:v>Matches</x:v>
      </x:c>
    </x:row>
    <x:row r="5">
      <x:c r="A5" s="13" t="n">
        <x:v>2014</x:v>
      </x:c>
      <x:c r="B5" s="13" t="n">
        <x:v>26</x:v>
      </x:c>
      <x:c r="C5" s="13" t="str">
        <x:v>Corinthians</x:v>
      </x:c>
      <x:c r="D5" s="13" t="str">
        <x:v>br BRA</x:v>
      </x:c>
      <x:c r="E5" s="13" t="str">
        <x:v>1. Série A</x:v>
      </x:c>
      <x:c r="F5" s="13" t="str">
        <x:v>4th</x:v>
      </x:c>
      <x:c r="G5" s="13" t="n">
        <x:v>35</x:v>
      </x:c>
      <x:c r="H5" s="13" t="n">
        <x:v>35</x:v>
      </x:c>
      <x:c r="I5" s="13" t="n">
        <x:v>3068</x:v>
      </x:c>
      <x:c r="J5" s="13" t="n">
        <x:v>34.1</x:v>
      </x:c>
      <x:c r="K5" s="13" t="n">
        <x:v>0</x:v>
      </x:c>
      <x:c r="L5" s="13" t="n">
        <x:v>1</x:v>
      </x:c>
      <x:c r="M5" s="13" t="n">
        <x:v>1</x:v>
      </x:c>
      <x:c r="N5" s="13" t="n">
        <x:v>0</x:v>
      </x:c>
      <x:c r="O5" s="13" t="n">
        <x:v>0</x:v>
      </x:c>
      <x:c r="P5" s="13" t="n">
        <x:v>0</x:v>
      </x:c>
      <x:c r="Q5" s="13" t="n">
        <x:v>4</x:v>
      </x:c>
      <x:c r="R5" s="13" t="n">
        <x:v>0</x:v>
      </x:c>
      <x:c r="S5" s="13" t="n">
        <x:v>0</x:v>
      </x:c>
      <x:c r="T5" s="13" t="n">
        <x:v>0.03</x:v>
      </x:c>
      <x:c r="U5" s="13" t="n">
        <x:v>0.03</x:v>
      </x:c>
      <x:c r="V5" s="13" t="n">
        <x:v>0</x:v>
      </x:c>
      <x:c r="W5" s="13" t="n">
        <x:v>0.03</x:v>
      </x:c>
      <x:c r="X5" s="13" t="str">
        <x:v>Matches</x:v>
      </x:c>
    </x:row>
    <x:row r="6">
      <x:c r="A6" s="13" t="n">
        <x:v>2015</x:v>
      </x:c>
      <x:c r="B6" s="13" t="n">
        <x:v>27</x:v>
      </x:c>
      <x:c r="C6" s="13" t="str">
        <x:v>Corinthians</x:v>
      </x:c>
      <x:c r="D6" s="13" t="str">
        <x:v>br BRA</x:v>
      </x:c>
      <x:c r="E6" s="13" t="str">
        <x:v>1. Série A</x:v>
      </x:c>
      <x:c r="F6" s="13" t="str">
        <x:v>1st</x:v>
      </x:c>
      <x:c r="G6" s="13" t="n">
        <x:v>35</x:v>
      </x:c>
      <x:c r="H6" s="13" t="n">
        <x:v>35</x:v>
      </x:c>
      <x:c r="I6" s="13" t="n">
        <x:v>3105</x:v>
      </x:c>
      <x:c r="J6" s="13" t="n">
        <x:v>34.5</x:v>
      </x:c>
      <x:c r="K6" s="13" t="n">
        <x:v>0</x:v>
      </x:c>
      <x:c r="L6" s="13" t="n">
        <x:v>0</x:v>
      </x:c>
      <x:c r="M6" s="13" t="n">
        <x:v>0</x:v>
      </x:c>
      <x:c r="N6" s="13" t="n">
        <x:v>0</x:v>
      </x:c>
      <x:c r="O6" s="13" t="n">
        <x:v>0</x:v>
      </x:c>
      <x:c r="P6" s="13" t="n">
        <x:v>0</x:v>
      </x:c>
      <x:c r="Q6" s="13" t="n">
        <x:v>2</x:v>
      </x:c>
      <x:c r="R6" s="13" t="n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0</x:v>
      </x:c>
      <x:c r="W6" s="13" t="n">
        <x:v>0</x:v>
      </x:c>
      <x:c r="X6" s="13" t="str">
        <x:v>Matches</x:v>
      </x:c>
    </x:row>
    <x:row r="7">
      <x:c r="A7" s="13" t="n">
        <x:v>2016</x:v>
      </x:c>
      <x:c r="B7" s="13" t="n">
        <x:v>28</x:v>
      </x:c>
      <x:c r="C7" s="13" t="str">
        <x:v>Corinthians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21</x:v>
      </x:c>
      <x:c r="H7" s="13" t="n">
        <x:v>19</x:v>
      </x:c>
      <x:c r="I7" s="13" t="n">
        <x:v>1785</x:v>
      </x:c>
      <x:c r="J7" s="13" t="n">
        <x:v>19.8</x:v>
      </x:c>
      <x:c r="K7" s="13" t="n">
        <x:v>0</x:v>
      </x:c>
      <x:c r="L7" s="13" t="n">
        <x:v>0</x:v>
      </x:c>
      <x:c r="M7" s="13" t="n">
        <x:v>0</x:v>
      </x:c>
      <x:c r="N7" s="13" t="n">
        <x:v>0</x:v>
      </x:c>
      <x:c r="O7" s="13" t="n">
        <x:v>0</x:v>
      </x:c>
      <x:c r="P7" s="13" t="n">
        <x:v>0</x:v>
      </x:c>
      <x:c r="Q7" s="13" t="n">
        <x:v>1</x:v>
      </x:c>
      <x:c r="R7" s="13" t="n">
        <x:v>0</x:v>
      </x:c>
      <x:c r="S7" s="13" t="n">
        <x:v>0</x:v>
      </x:c>
      <x:c r="T7" s="13" t="n">
        <x:v>0</x:v>
      </x:c>
      <x:c r="U7" s="13" t="n">
        <x:v>0</x:v>
      </x:c>
      <x:c r="V7" s="13" t="n">
        <x:v>0</x:v>
      </x:c>
      <x:c r="W7" s="13" t="n">
        <x:v>0</x:v>
      </x:c>
      <x:c r="X7" s="13" t="str">
        <x:v>Matches</x:v>
      </x:c>
    </x:row>
    <x:row r="8">
      <x:c r="A8" s="13" t="n">
        <x:v>2017</x:v>
      </x:c>
      <x:c r="B8" s="13" t="n">
        <x:v>29</x:v>
      </x:c>
      <x:c r="C8" s="13" t="str">
        <x:v>Corinthians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35</x:v>
      </x:c>
      <x:c r="H8" s="13" t="n">
        <x:v>35</x:v>
      </x:c>
      <x:c r="I8" s="13" t="n">
        <x:v>3150</x:v>
      </x:c>
      <x:c r="J8" s="13" t="n">
        <x:v>35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3</x:v>
      </x:c>
      <x:c r="R8" s="13" t="n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0</x:v>
      </x:c>
      <x:c r="W8" s="13" t="n">
        <x:v>0</x:v>
      </x:c>
      <x:c r="X8" s="13" t="str">
        <x:v>Matches</x:v>
      </x:c>
    </x:row>
    <x:row r="9">
      <x:c r="A9" s="13" t="n">
        <x:v>2018</x:v>
      </x:c>
      <x:c r="B9" s="13" t="n">
        <x:v>30</x:v>
      </x:c>
      <x:c r="C9" s="13" t="str">
        <x:v>Corinthians</x:v>
      </x:c>
      <x:c r="D9" s="13" t="str">
        <x:v>br BRA</x:v>
      </x:c>
      <x:c r="E9" s="13" t="str">
        <x:v>1. Série A</x:v>
      </x:c>
      <x:c r="F9" s="13" t="str">
        <x:v>13th</x:v>
      </x:c>
      <x:c r="G9" s="13" t="n">
        <x:v>27</x:v>
      </x:c>
      <x:c r="H9" s="13" t="n">
        <x:v>27</x:v>
      </x:c>
      <x:c r="I9" s="13" t="n">
        <x:v>2377</x:v>
      </x:c>
      <x:c r="J9" s="13" t="n">
        <x:v>26.4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3</x:v>
      </x:c>
      <x:c r="R9" s="13" t="n">
        <x:v>0</x:v>
      </x:c>
      <x:c r="S9" s="13" t="n">
        <x:v>0</x:v>
      </x:c>
      <x:c r="T9" s="13" t="n">
        <x:v>0</x:v>
      </x:c>
      <x:c r="U9" s="13" t="n">
        <x:v>0</x:v>
      </x:c>
      <x:c r="V9" s="13" t="n">
        <x:v>0</x:v>
      </x:c>
      <x:c r="W9" s="13" t="n">
        <x:v>0</x:v>
      </x:c>
      <x:c r="X9" s="13" t="str">
        <x:v>Matches</x:v>
      </x:c>
    </x:row>
    <x:row r="10">
      <x:c r="A10" s="13" t="n">
        <x:v>2019</x:v>
      </x:c>
      <x:c r="B10" s="13" t="n">
        <x:v>31</x:v>
      </x:c>
      <x:c r="C10" s="13" t="str">
        <x:v>Corinthians</x:v>
      </x:c>
      <x:c r="D10" s="13" t="str">
        <x:v>br BRA</x:v>
      </x:c>
      <x:c r="E10" s="13" t="str">
        <x:v>1. Série A</x:v>
      </x:c>
      <x:c r="F10" s="13" t="str">
        <x:v>8th</x:v>
      </x:c>
      <x:c r="G10" s="13" t="n">
        <x:v>32</x:v>
      </x:c>
      <x:c r="H10" s="13" t="n">
        <x:v>32</x:v>
      </x:c>
      <x:c r="I10" s="13" t="n">
        <x:v>2859</x:v>
      </x:c>
      <x:c r="J10" s="13" t="n">
        <x:v>31.8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6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0</x:v>
      </x:c>
      <x:c r="W10" s="13" t="n">
        <x:v>0</x:v>
      </x:c>
      <x:c r="X10" s="13" t="str">
        <x:v>Matches</x:v>
      </x:c>
    </x:row>
    <x:row r="11">
      <x:c r="A11" s="13" t="n">
        <x:v>2020</x:v>
      </x:c>
      <x:c r="B11" s="13" t="n">
        <x:v>32</x:v>
      </x:c>
      <x:c r="C11" s="13" t="str">
        <x:v>Corinthians</x:v>
      </x:c>
      <x:c r="D11" s="13" t="str">
        <x:v>br BRA</x:v>
      </x:c>
      <x:c r="E11" s="13" t="str">
        <x:v>1. Série A</x:v>
      </x:c>
      <x:c r="F11" s="13" t="str">
        <x:v>12th</x:v>
      </x:c>
      <x:c r="G11" s="13" t="n">
        <x:v>35</x:v>
      </x:c>
      <x:c r="H11" s="13" t="n">
        <x:v>35</x:v>
      </x:c>
      <x:c r="I11" s="13" t="n">
        <x:v>3142</x:v>
      </x:c>
      <x:c r="J11" s="13" t="n">
        <x:v>34.9</x:v>
      </x:c>
      <x:c r="K11" s="13" t="n">
        <x:v>0</x:v>
      </x:c>
      <x:c r="L11" s="13" t="n">
        <x:v>0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2</x:v>
      </x:c>
      <x:c r="R11" s="13" t="n">
        <x:v>1</x:v>
      </x:c>
      <x:c r="S11" s="13" t="n">
        <x:v>0</x:v>
      </x:c>
      <x:c r="T11" s="13" t="n">
        <x:v>0</x:v>
      </x:c>
      <x:c r="U11" s="13" t="n">
        <x:v>0</x:v>
      </x:c>
      <x:c r="V11" s="13" t="n">
        <x:v>0</x:v>
      </x:c>
      <x:c r="W11" s="13" t="n">
        <x:v>0</x:v>
      </x:c>
      <x:c r="X11" s="13" t="str">
        <x:v>Matches</x:v>
      </x:c>
    </x:row>
    <x:row r="12">
      <x:c r="A12" s="13" t="n">
        <x:v>2021</x:v>
      </x:c>
      <x:c r="B12" s="13" t="n">
        <x:v>33</x:v>
      </x:c>
      <x:c r="C12" s="13" t="str">
        <x:v>Corinthians</x:v>
      </x:c>
      <x:c r="D12" s="13" t="str">
        <x:v>br BRA</x:v>
      </x:c>
      <x:c r="E12" s="13" t="str">
        <x:v>1. Série A</x:v>
      </x:c>
      <x:c r="F12" s="13" t="str">
        <x:v>5th</x:v>
      </x:c>
      <x:c r="G12" s="13" t="n">
        <x:v>37</x:v>
      </x:c>
      <x:c r="H12" s="13" t="n">
        <x:v>37</x:v>
      </x:c>
      <x:c r="I12" s="13" t="n">
        <x:v>3330</x:v>
      </x:c>
      <x:c r="J12" s="13" t="n">
        <x:v>37</x:v>
      </x:c>
      <x:c r="K12" s="13" t="n">
        <x:v>0</x:v>
      </x:c>
      <x:c r="L12" s="13" t="n">
        <x:v>0</x:v>
      </x:c>
      <x:c r="M12" s="13" t="n">
        <x:v>0</x:v>
      </x:c>
      <x:c r="N12" s="13" t="n">
        <x:v>0</x:v>
      </x:c>
      <x:c r="O12" s="13" t="n">
        <x:v>0</x:v>
      </x:c>
      <x:c r="P12" s="13" t="n">
        <x:v>0</x:v>
      </x:c>
      <x:c r="Q12" s="13" t="n">
        <x:v>4</x:v>
      </x:c>
      <x:c r="R12" s="13" t="n">
        <x:v>0</x:v>
      </x:c>
      <x:c r="S12" s="13" t="n">
        <x:v>0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str">
        <x:v>Matches</x:v>
      </x:c>
    </x:row>
    <x:row r="13">
      <x:c r="A13" s="13" t="n">
        <x:v>2022</x:v>
      </x:c>
      <x:c r="B13" s="13" t="n">
        <x:v>34</x:v>
      </x:c>
      <x:c r="C13" s="13" t="str">
        <x:v>Corinthians</x:v>
      </x:c>
      <x:c r="D13" s="13" t="str">
        <x:v>br BRA</x:v>
      </x:c>
      <x:c r="E13" s="13" t="str">
        <x:v>1. Série A</x:v>
      </x:c>
      <x:c r="F13" s="13" t="str">
        <x:v>4th</x:v>
      </x:c>
      <x:c r="G13" s="13" t="n">
        <x:v>34</x:v>
      </x:c>
      <x:c r="H13" s="13" t="n">
        <x:v>34</x:v>
      </x:c>
      <x:c r="I13" s="13" t="n">
        <x:v>3059</x:v>
      </x:c>
      <x:c r="J13" s="13" t="n">
        <x:v>34</x:v>
      </x:c>
      <x:c r="K13" s="13" t="n">
        <x:v>0</x:v>
      </x:c>
      <x:c r="L13" s="13" t="n">
        <x:v>0</x:v>
      </x:c>
      <x:c r="M13" s="13" t="n">
        <x:v>0</x:v>
      </x:c>
      <x:c r="N13" s="13" t="n">
        <x:v>0</x:v>
      </x:c>
      <x:c r="O13" s="13" t="n">
        <x:v>0</x:v>
      </x:c>
      <x:c r="P13" s="13" t="n">
        <x:v>0</x:v>
      </x:c>
      <x:c r="Q13" s="13" t="n">
        <x:v>3</x:v>
      </x:c>
      <x:c r="R13" s="13" t="n">
        <x:v>0</x:v>
      </x:c>
      <x:c r="S13" s="13" t="n">
        <x:v>0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str">
        <x:v>Matches</x:v>
      </x:c>
    </x:row>
    <x:row r="14">
      <x:c r="A14" s="13" t="n">
        <x:v>2023</x:v>
      </x:c>
      <x:c r="B14" s="13" t="n">
        <x:v>35</x:v>
      </x:c>
      <x:c r="C14" s="13" t="str">
        <x:v>Corinthians</x:v>
      </x:c>
      <x:c r="D14" s="13" t="str">
        <x:v>br BRA</x:v>
      </x:c>
      <x:c r="E14" s="13" t="str">
        <x:v>1. Série A</x:v>
      </x:c>
      <x:c r="F14" s="13" t="str">
        <x:v>13th</x:v>
      </x:c>
      <x:c r="G14" s="13" t="n">
        <x:v>37</x:v>
      </x:c>
      <x:c r="H14" s="13" t="n">
        <x:v>37</x:v>
      </x:c>
      <x:c r="I14" s="13" t="n">
        <x:v>3310</x:v>
      </x:c>
      <x:c r="J14" s="13" t="n">
        <x:v>36.8</x:v>
      </x:c>
      <x:c r="K14" s="13" t="n">
        <x:v>0</x:v>
      </x:c>
      <x:c r="L14" s="13" t="n">
        <x:v>0</x:v>
      </x:c>
      <x:c r="M14" s="13" t="n">
        <x:v>0</x:v>
      </x:c>
      <x:c r="N14" s="13" t="n">
        <x:v>0</x:v>
      </x:c>
      <x:c r="O14" s="13" t="n">
        <x:v>0</x:v>
      </x:c>
      <x:c r="P14" s="13" t="n">
        <x:v>0</x:v>
      </x:c>
      <x:c r="Q14" s="13" t="n">
        <x:v>2</x:v>
      </x:c>
      <x:c r="R14" s="13" t="n">
        <x:v>0</x:v>
      </x:c>
      <x:c r="S14" s="13" t="n">
        <x:v>0</x:v>
      </x:c>
      <x:c r="T14" s="13" t="n">
        <x:v>0</x:v>
      </x:c>
      <x:c r="U14" s="13" t="n">
        <x:v>0</x:v>
      </x:c>
      <x:c r="V14" s="13" t="n">
        <x:v>0</x:v>
      </x:c>
      <x:c r="W14" s="13" t="n">
        <x:v>0</x:v>
      </x:c>
      <x:c r="X14" s="13" t="str">
        <x:v>Matches</x:v>
      </x:c>
    </x:row>
    <x:row r="15">
      <x:c r="A15" s="13" t="n">
        <x:v>2024</x:v>
      </x:c>
      <x:c r="B15" s="13" t="n">
        <x:v>36</x:v>
      </x:c>
      <x:c r="C15" s="13" t="str">
        <x:v>Corinthians</x:v>
      </x:c>
      <x:c r="D15" s="13" t="str">
        <x:v>br BRA</x:v>
      </x:c>
      <x:c r="E15" s="13" t="str">
        <x:v>1. Série A</x:v>
      </x:c>
      <x:c r="F15" s="13" t="str">
        <x:v>7th</x:v>
      </x:c>
      <x:c r="G15" s="13" t="n">
        <x:v>3</x:v>
      </x:c>
      <x:c r="H15" s="13" t="n">
        <x:v>3</x:v>
      </x:c>
      <x:c r="I15" s="13" t="n">
        <x:v>270</x:v>
      </x:c>
      <x:c r="J15" s="13" t="n">
        <x:v>3</x:v>
      </x:c>
      <x:c r="K15" s="13" t="n">
        <x:v>0</x:v>
      </x:c>
      <x:c r="L15" s="13" t="n">
        <x:v>0</x:v>
      </x:c>
      <x:c r="M15" s="13" t="n">
        <x:v>0</x:v>
      </x:c>
      <x:c r="N15" s="13" t="n">
        <x:v>0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0</x:v>
      </x:c>
      <x:c r="U15" s="13" t="n">
        <x:v>0</x:v>
      </x:c>
      <x:c r="V15" s="13" t="n">
        <x:v>0</x:v>
      </x:c>
      <x:c r="W15" s="13" t="n">
        <x:v>0</x:v>
      </x:c>
      <x:c r="X15" s="13" t="str">
        <x:v>Matches</x:v>
      </x:c>
    </x:row>
    <x:row r="16">
      <x:c r="A16" s="13" t="n">
        <x:v>2024</x:v>
      </x:c>
      <x:c r="B16" s="13" t="n">
        <x:v>36</x:v>
      </x:c>
      <x:c r="C16" s="13" t="str">
        <x:v>Cruzeiro</x:v>
      </x:c>
      <x:c r="D16" s="13" t="str">
        <x:v>br BRA</x:v>
      </x:c>
      <x:c r="E16" s="13" t="str">
        <x:v>1. Série A</x:v>
      </x:c>
      <x:c r="F16" s="13" t="str">
        <x:v>9th</x:v>
      </x:c>
      <x:c r="G16" s="13" t="n">
        <x:v>21</x:v>
      </x:c>
      <x:c r="H16" s="13" t="n">
        <x:v>21</x:v>
      </x:c>
      <x:c r="I16" s="13" t="n">
        <x:v>1890</x:v>
      </x:c>
      <x:c r="J16" s="13" t="n">
        <x:v>21</x:v>
      </x:c>
      <x:c r="K16" s="13" t="n">
        <x:v>0</x:v>
      </x:c>
      <x:c r="L16" s="13" t="n">
        <x:v>0</x:v>
      </x:c>
      <x:c r="M16" s="13" t="n">
        <x:v>0</x:v>
      </x:c>
      <x:c r="N16" s="13" t="n">
        <x:v>0</x:v>
      </x:c>
      <x:c r="O16" s="13" t="n">
        <x:v>0</x:v>
      </x:c>
      <x:c r="P16" s="13" t="n">
        <x:v>0</x:v>
      </x:c>
      <x:c r="Q16" s="13" t="n">
        <x:v>2</x:v>
      </x:c>
      <x:c r="R16" s="13" t="n">
        <x:v>0</x:v>
      </x:c>
      <x:c r="S16" s="13" t="n">
        <x:v>0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str">
        <x:v>Matches</x:v>
      </x:c>
    </x:row>
    <x:row r="17">
      <x:c r="A17" s="13" t="n">
        <x:v>2025</x:v>
      </x:c>
      <x:c r="B17" s="13" t="n">
        <x:v>37</x:v>
      </x:c>
      <x:c r="C17" s="13" t="str">
        <x:v>Cruzeiro</x:v>
      </x:c>
      <x:c r="D17" s="13" t="str">
        <x:v>br BRA</x:v>
      </x:c>
      <x:c r="E17" s="13" t="str">
        <x:v>1. Série A</x:v>
      </x:c>
      <x:c r="F17" s="13" t="str">
        <x:v>3rd</x:v>
      </x:c>
      <x:c r="G17" s="13" t="n">
        <x:v>35</x:v>
      </x:c>
      <x:c r="H17" s="13" t="n">
        <x:v>35</x:v>
      </x:c>
      <x:c r="I17" s="13" t="n">
        <x:v>3086</x:v>
      </x:c>
      <x:c r="J17" s="13" t="n">
        <x:v>34.3</x:v>
      </x:c>
      <x:c r="K17" s="13" t="n">
        <x:v>0</x:v>
      </x:c>
      <x:c r="L17" s="13" t="n">
        <x:v>0</x:v>
      </x:c>
      <x:c r="M17" s="13" t="n">
        <x:v>0</x:v>
      </x:c>
      <x:c r="N17" s="13" t="n">
        <x:v>0</x:v>
      </x:c>
      <x:c r="O17" s="13" t="n">
        <x:v>0</x:v>
      </x:c>
      <x:c r="P17" s="13" t="n">
        <x:v>0</x:v>
      </x:c>
      <x:c r="Q17" s="13" t="n">
        <x:v>6</x:v>
      </x:c>
      <x:c r="R17" s="13" t="n">
        <x:v>0</x:v>
      </x:c>
      <x:c r="S17" s="13" t="n">
        <x:v>0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str">
        <x:v>Matches</x:v>
      </x:c>
    </x:row>
    <x:row r="18">
      <x:c r="A18" s="13" t="n">
        <x:v>2026</x:v>
      </x:c>
      <x:c r="B18" s="13" t="n">
        <x:v>38</x:v>
      </x:c>
      <x:c r="C18" s="13" t="str">
        <x:v>Cruzeiro</x:v>
      </x:c>
      <x:c r="D18" s="13" t="str">
        <x:v>br BRA</x:v>
      </x:c>
      <x:c r="E18" s="13" t="str">
        <x:v>1. Série A</x:v>
      </x:c>
      <x:c r="F18" s="13" t="str">
        <x:v>11th</x:v>
      </x:c>
      <x:c r="G18" s="13" t="n">
        <x:v>5</x:v>
      </x:c>
      <x:c r="H18" s="13" t="n">
        <x:v>5</x:v>
      </x:c>
      <x:c r="I18" s="13" t="n">
        <x:v>421</x:v>
      </x:c>
      <x:c r="J18" s="13" t="n">
        <x:v>4.7</x:v>
      </x:c>
      <x:c r="K18" s="13" t="n">
        <x:v>0</x:v>
      </x:c>
      <x:c r="L18" s="13" t="n">
        <x:v>0</x:v>
      </x:c>
      <x:c r="M18" s="13" t="n">
        <x:v>0</x:v>
      </x:c>
      <x:c r="N18" s="13" t="n">
        <x:v>0</x:v>
      </x:c>
      <x:c r="O18" s="13" t="n">
        <x:v>0</x:v>
      </x:c>
      <x:c r="P18" s="13" t="n">
        <x:v>0</x:v>
      </x:c>
      <x:c r="Q18" s="13" t="n">
        <x:v>0</x:v>
      </x:c>
      <x:c r="R18" s="13" t="n">
        <x:v>0</x:v>
      </x:c>
      <x:c r="S18" s="13" t="n">
        <x:v>0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17cdaa24e8a34d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12" t="str">
        <x:v>Country</x:v>
      </x:c>
      <x:c r="B1" s="12" t="str">
        <x:v>Comp</x:v>
      </x:c>
      <x:c r="C1" s="12" t="str">
        <x:v>LgRank</x:v>
      </x:c>
      <x:c r="D1" s="12" t="str">
        <x:v>MP</x:v>
      </x:c>
      <x:c r="E1" s="12" t="str">
        <x:v>Starts</x:v>
      </x:c>
      <x:c r="F1" s="12" t="str">
        <x:v>Min</x:v>
      </x:c>
      <x:c r="G1" s="12" t="str">
        <x:v>90s</x:v>
      </x:c>
      <x:c r="H1" s="12" t="str">
        <x:v>Gls</x:v>
      </x:c>
      <x:c r="I1" s="12" t="str">
        <x:v>Ast</x:v>
      </x:c>
      <x:c r="J1" s="12" t="str">
        <x:v>G+A</x:v>
      </x:c>
      <x:c r="K1" s="12" t="str">
        <x:v>G-PK</x:v>
      </x:c>
      <x:c r="L1" s="12" t="str">
        <x:v>PK</x:v>
      </x:c>
      <x:c r="M1" s="12" t="str">
        <x:v>PKatt</x:v>
      </x:c>
      <x:c r="N1" s="12" t="str">
        <x:v>CrdY</x:v>
      </x:c>
      <x:c r="O1" s="12" t="str">
        <x:v>CrdR</x:v>
      </x:c>
      <x:c r="P1" s="12" t="str">
        <x:v>Gls_2</x:v>
      </x:c>
      <x:c r="Q1" s="12" t="str">
        <x:v>Ast_2</x:v>
      </x:c>
      <x:c r="R1" s="12" t="str">
        <x:v>G+A_2</x:v>
      </x:c>
      <x:c r="S1" s="12" t="str">
        <x:v>G-PK_2</x:v>
      </x:c>
      <x:c r="T1" s="12" t="str">
        <x:v>G+A-PK</x:v>
      </x:c>
      <x:c r="U1" s="12" t="str">
        <x:v>Matches</x:v>
      </x:c>
      <x:c r="V1" s="12"/>
      <x:c r="W1" s="12"/>
      <x:c r="X1" s="12"/>
    </x:row>
    <x:row r="2">
      <x:c r="A2" s="13" t="str">
        <x:v>Corinthians (11 Seasons)</x:v>
      </x:c>
      <x:c r="B2" s="13"/>
      <x:c r="C2" s="13" t="str">
        <x:v>1 League</x:v>
      </x:c>
      <x:c r="D2" s="13"/>
      <x:c r="E2" s="13" t="n">
        <x:v>331</x:v>
      </x:c>
      <x:c r="F2" s="13" t="n">
        <x:v>329</x:v>
      </x:c>
      <x:c r="G2" s="13" t="n">
        <x:v>29455</x:v>
      </x:c>
      <x:c r="H2" s="13" t="n">
        <x:v>327.3</x:v>
      </x:c>
      <x:c r="I2" s="13" t="n">
        <x:v>0</x:v>
      </x:c>
      <x:c r="J2" s="13" t="n">
        <x:v>1</x:v>
      </x:c>
      <x:c r="K2" s="13" t="n">
        <x:v>1</x:v>
      </x:c>
      <x:c r="L2" s="13" t="n">
        <x:v>0</x:v>
      </x:c>
      <x:c r="M2" s="13" t="n">
        <x:v>0</x:v>
      </x:c>
      <x:c r="N2" s="13" t="n">
        <x:v>0</x:v>
      </x:c>
      <x:c r="O2" s="13" t="n">
        <x:v>30</x:v>
      </x:c>
      <x:c r="P2" s="13" t="n">
        <x:v>1</x:v>
      </x:c>
      <x:c r="Q2" s="13" t="n">
        <x:v>0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/>
      <x:c r="W2" s="13"/>
      <x:c r="X2" s="13"/>
    </x:row>
    <x:row r="3">
      <x:c r="A3" s="13" t="str">
        <x:v>Cruzeiro (3 Seasons)</x:v>
      </x:c>
      <x:c r="B3" s="13"/>
      <x:c r="C3" s="13" t="str">
        <x:v>1 League</x:v>
      </x:c>
      <x:c r="D3" s="13"/>
      <x:c r="E3" s="13" t="n">
        <x:v>61</x:v>
      </x:c>
      <x:c r="F3" s="13" t="n">
        <x:v>61</x:v>
      </x:c>
      <x:c r="G3" s="13" t="n">
        <x:v>5397</x:v>
      </x:c>
      <x:c r="H3" s="13" t="n">
        <x:v>60</x:v>
      </x:c>
      <x:c r="I3" s="13" t="n">
        <x:v>0</x:v>
      </x:c>
      <x:c r="J3" s="13" t="n">
        <x:v>0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8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n">
        <x:v>0</x:v>
      </x:c>
      <x:c r="U3" s="13" t="n">
        <x:v>0</x:v>
      </x:c>
      <x:c r="V3" s="13"/>
      <x:c r="W3" s="13"/>
      <x:c r="X3" s="13"/>
    </x:row>
    <x:row r="4">
      <x:c r="A4" s="13" t="str">
        <x:v>PSV (2 Seasons)</x:v>
      </x:c>
      <x:c r="B4" s="13"/>
      <x:c r="C4" s="13" t="str">
        <x:v>1 League</x:v>
      </x:c>
      <x:c r="D4" s="13"/>
      <x:c r="E4" s="13" t="n">
        <x:v>3</x:v>
      </x:c>
      <x:c r="F4" s="13" t="n">
        <x:v>1</x:v>
      </x:c>
      <x:c r="G4" s="13" t="n">
        <x:v>221</x:v>
      </x:c>
      <x:c r="H4" s="13" t="n">
        <x:v>2.5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/>
      <x:c r="W4" s="13"/>
      <x:c r="X4" s="13"/>
    </x:row>
    <x:row r="5">
      <x:c r="A5" s="13" t="str">
        <x:v>Sparta Rotterdam (1 Season)</x:v>
      </x:c>
      <x:c r="B5" s="13"/>
      <x:c r="C5" s="13" t="str">
        <x:v>1 League</x:v>
      </x:c>
      <x:c r="D5" s="13"/>
      <x:c r="E5" s="13" t="n">
        <x:v>14</x:v>
      </x:c>
      <x:c r="F5" s="13" t="n">
        <x:v>14</x:v>
      </x:c>
      <x:c r="G5" s="13" t="n">
        <x:v>1260</x:v>
      </x:c>
      <x:c r="H5" s="13" t="n">
        <x:v>14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0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n">
        <x:v>0</x:v>
      </x:c>
      <x:c r="U5" s="13" t="n">
        <x:v>0</x:v>
      </x:c>
      <x:c r="V5" s="13"/>
      <x:c r="W5" s="13"/>
      <x:c r="X5" s="13"/>
    </x:row>
    <x:row r="6">
      <x:c r="A6" s="13" t="str">
        <x:v>Série A (13 Seasons)</x:v>
      </x:c>
      <x:c r="B6" s="13"/>
      <x:c r="C6" s="13"/>
      <x:c r="D6" s="13"/>
      <x:c r="E6" s="13" t="n">
        <x:v>392</x:v>
      </x:c>
      <x:c r="F6" s="13" t="n">
        <x:v>390</x:v>
      </x:c>
      <x:c r="G6" s="13" t="n">
        <x:v>34852</x:v>
      </x:c>
      <x:c r="H6" s="13" t="n">
        <x:v>387.2</x:v>
      </x:c>
      <x:c r="I6" s="13" t="n">
        <x:v>0</x:v>
      </x:c>
      <x:c r="J6" s="13" t="n">
        <x:v>1</x:v>
      </x:c>
      <x:c r="K6" s="13" t="n">
        <x:v>1</x:v>
      </x:c>
      <x:c r="L6" s="13" t="n">
        <x:v>0</x:v>
      </x:c>
      <x:c r="M6" s="13" t="n">
        <x:v>0</x:v>
      </x:c>
      <x:c r="N6" s="13" t="n">
        <x:v>0</x:v>
      </x:c>
      <x:c r="O6" s="13" t="n">
        <x:v>38</x:v>
      </x:c>
      <x:c r="P6" s="13" t="n">
        <x:v>1</x:v>
      </x:c>
      <x:c r="Q6" s="13" t="n">
        <x:v>0</x:v>
      </x:c>
      <x:c r="R6" s="13" t="n">
        <x:v>0</x:v>
      </x:c>
      <x:c r="S6" s="13" t="n">
        <x:v>0</x:v>
      </x:c>
      <x:c r="T6" s="13" t="n">
        <x:v>0</x:v>
      </x:c>
      <x:c r="U6" s="13" t="n">
        <x:v>0</x:v>
      </x:c>
      <x:c r="V6" s="13"/>
      <x:c r="W6" s="13"/>
      <x:c r="X6" s="13"/>
    </x:row>
    <x:row r="7">
      <x:c r="A7" s="13" t="str">
        <x:v>Eredivisie (2 Seasons)</x:v>
      </x:c>
      <x:c r="B7" s="13"/>
      <x:c r="C7" s="13"/>
      <x:c r="D7" s="13"/>
      <x:c r="E7" s="13" t="n">
        <x:v>17</x:v>
      </x:c>
      <x:c r="F7" s="13" t="n">
        <x:v>15</x:v>
      </x:c>
      <x:c r="G7" s="13" t="n">
        <x:v>1481</x:v>
      </x:c>
      <x:c r="H7" s="13" t="n">
        <x:v>16.5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0</x:v>
      </x:c>
      <x:c r="N7" s="13" t="n">
        <x:v>0</x:v>
      </x:c>
      <x:c r="O7" s="13" t="n">
        <x:v>0</x:v>
      </x:c>
      <x:c r="P7" s="13" t="n">
        <x:v>0</x:v>
      </x:c>
      <x:c r="Q7" s="13" t="n">
        <x:v>0</x:v>
      </x:c>
      <x:c r="R7" s="13" t="n">
        <x:v>0</x:v>
      </x:c>
      <x:c r="S7" s="13" t="n">
        <x:v>0</x:v>
      </x:c>
      <x:c r="T7" s="13" t="n">
        <x:v>0</x:v>
      </x:c>
      <x:c r="U7" s="13" t="n">
        <x:v>0</x:v>
      </x:c>
      <x:c r="V7" s="13"/>
      <x:c r="W7" s="13"/>
      <x:c r="X7" s="13"/>
    </x:row>
    <x:row r="8">
      <x:c r="A8" s="13" t="str">
        <x:v>15 Seasons</x:v>
      </x:c>
      <x:c r="B8" s="13" t="str">
        <x:v>4 Clubs</x:v>
      </x:c>
      <x:c r="C8" s="13"/>
      <x:c r="D8" s="13" t="str">
        <x:v>2 Leagues</x:v>
      </x:c>
      <x:c r="E8" s="13"/>
      <x:c r="F8" s="13" t="n">
        <x:v>409</x:v>
      </x:c>
      <x:c r="G8" s="13" t="n">
        <x:v>405</x:v>
      </x:c>
      <x:c r="H8" s="13" t="n">
        <x:v>36333</x:v>
      </x:c>
      <x:c r="I8" s="13" t="n">
        <x:v>403.7</x:v>
      </x:c>
      <x:c r="J8" s="13" t="n">
        <x:v>0</x:v>
      </x:c>
      <x:c r="K8" s="13" t="n">
        <x:v>1</x:v>
      </x:c>
      <x:c r="L8" s="13" t="n">
        <x:v>1</x:v>
      </x:c>
      <x:c r="M8" s="13" t="n">
        <x:v>0</x:v>
      </x:c>
      <x:c r="N8" s="13" t="n">
        <x:v>0</x:v>
      </x:c>
      <x:c r="O8" s="13" t="n">
        <x:v>0</x:v>
      </x:c>
      <x:c r="P8" s="13" t="n">
        <x:v>38</x:v>
      </x:c>
      <x:c r="Q8" s="13" t="n">
        <x:v>1</x:v>
      </x:c>
      <x:c r="R8" s="13" t="n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0</x:v>
      </x:c>
      <x:c r="W8" s="13"/>
      <x:c r="X8" s="13"/>
    </x:row>
  </x:sheetData>
  <x:pageMargins left="0.7" right="0.7" top="0.75" bottom="0.75" header="0.3" footer="0.3"/>
  <x:tableParts count="1">
    <x:tablePart xmlns:r="http://schemas.openxmlformats.org/officeDocument/2006/relationships" r:id="Rbd96eac5b44e46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LgRank</x:v>
      </x:c>
      <x:c r="G1" s="12" t="str">
        <x:v>90s</x:v>
      </x:c>
      <x:c r="H1" s="12" t="str">
        <x:v>Gls</x:v>
      </x:c>
      <x:c r="I1" s="12" t="str">
        <x:v>Sh</x:v>
      </x:c>
      <x:c r="J1" s="12" t="str">
        <x:v>SoT</x:v>
      </x:c>
      <x:c r="K1" s="12" t="str">
        <x:v>SoT%</x:v>
      </x:c>
      <x:c r="L1" s="12" t="str">
        <x:v>Sh/90</x:v>
      </x:c>
      <x:c r="M1" s="12" t="str">
        <x:v>SoT/90</x:v>
      </x:c>
      <x:c r="N1" s="12" t="str">
        <x:v>G/Sh</x:v>
      </x:c>
      <x:c r="O1" s="12" t="str">
        <x:v>G/SoT</x:v>
      </x:c>
      <x:c r="P1" s="12" t="str">
        <x:v>PK</x:v>
      </x:c>
      <x:c r="Q1" s="12" t="str">
        <x:v>PKatt</x:v>
      </x:c>
      <x:c r="R1" s="12" t="str">
        <x:v>Matches</x:v>
      </x:c>
    </x:row>
    <x:row r="2">
      <x:c r="A2" s="13" t="str">
        <x:v>2008-2009</x:v>
      </x:c>
      <x:c r="B2" s="13" t="n">
        <x:v>21</x:v>
      </x:c>
      <x:c r="C2" s="13" t="str">
        <x:v>Sparta Rotterdam</x:v>
      </x:c>
      <x:c r="D2" s="13" t="str">
        <x:v>nl NED</x:v>
      </x:c>
      <x:c r="E2" s="13" t="str">
        <x:v>1. Eredivisie</x:v>
      </x:c>
      <x:c r="F2" s="13" t="str">
        <x:v>13th</x:v>
      </x:c>
      <x:c r="G2" s="13" t="n">
        <x:v>14</x:v>
      </x:c>
      <x:c r="H2" s="13" t="n">
        <x:v>0</x:v>
      </x:c>
      <x:c r="I2" s="13"/>
      <x:c r="J2" s="13" t="n">
        <x:v>0</x:v>
      </x:c>
      <x:c r="K2" s="13"/>
      <x:c r="L2" s="13"/>
      <x:c r="M2" s="13" t="n">
        <x:v>0</x:v>
      </x:c>
      <x:c r="N2" s="13"/>
      <x:c r="O2" s="13"/>
      <x:c r="P2" s="13" t="n">
        <x:v>0</x:v>
      </x:c>
      <x:c r="Q2" s="13" t="n">
        <x:v>0</x:v>
      </x:c>
      <x:c r="R2" s="13" t="str">
        <x:v>Matches</x:v>
      </x:c>
    </x:row>
    <x:row r="3">
      <x:c r="A3" s="13" t="str">
        <x:v>2008-2009</x:v>
      </x:c>
      <x:c r="B3" s="13" t="n">
        <x:v>21</x:v>
      </x:c>
      <x:c r="C3" s="13" t="str">
        <x:v>PSV</x:v>
      </x:c>
      <x:c r="D3" s="13" t="str">
        <x:v>nl NED</x:v>
      </x:c>
      <x:c r="E3" s="13" t="str">
        <x:v>1. Eredivisie</x:v>
      </x:c>
      <x:c r="F3" s="13" t="str">
        <x:v>4th</x:v>
      </x:c>
      <x:c r="G3" s="13" t="n">
        <x:v>1</x:v>
      </x:c>
      <x:c r="H3" s="13" t="n">
        <x:v>0</x:v>
      </x:c>
      <x:c r="I3" s="13"/>
      <x:c r="J3" s="13" t="n">
        <x:v>0</x:v>
      </x:c>
      <x:c r="K3" s="13"/>
      <x:c r="L3" s="13"/>
      <x:c r="M3" s="13" t="n">
        <x:v>0</x:v>
      </x:c>
      <x:c r="N3" s="13"/>
      <x:c r="O3" s="13"/>
      <x:c r="P3" s="13" t="n">
        <x:v>0</x:v>
      </x:c>
      <x:c r="Q3" s="13" t="n">
        <x:v>0</x:v>
      </x:c>
      <x:c r="R3" s="13" t="str">
        <x:v>Matches</x:v>
      </x:c>
    </x:row>
    <x:row r="4">
      <x:c r="A4" s="13" t="str">
        <x:v>2010-2011</x:v>
      </x:c>
      <x:c r="B4" s="13" t="n">
        <x:v>23</x:v>
      </x:c>
      <x:c r="C4" s="13" t="str">
        <x:v>PSV</x:v>
      </x:c>
      <x:c r="D4" s="13" t="str">
        <x:v>nl NED</x:v>
      </x:c>
      <x:c r="E4" s="13" t="str">
        <x:v>1. Eredivisie</x:v>
      </x:c>
      <x:c r="F4" s="13" t="str">
        <x:v>3rd</x:v>
      </x:c>
      <x:c r="G4" s="13" t="n">
        <x:v>1.5</x:v>
      </x:c>
      <x:c r="H4" s="13" t="n">
        <x:v>0</x:v>
      </x:c>
      <x:c r="I4" s="13"/>
      <x:c r="J4" s="13" t="n">
        <x:v>0</x:v>
      </x:c>
      <x:c r="K4" s="13"/>
      <x:c r="L4" s="13"/>
      <x:c r="M4" s="13" t="n">
        <x:v>0</x:v>
      </x:c>
      <x:c r="N4" s="13"/>
      <x:c r="O4" s="13"/>
      <x:c r="P4" s="13" t="n">
        <x:v>0</x:v>
      </x:c>
      <x:c r="Q4" s="13" t="n">
        <x:v>0</x:v>
      </x:c>
      <x:c r="R4" s="13" t="str">
        <x:v>Matches</x:v>
      </x:c>
    </x:row>
    <x:row r="5">
      <x:c r="A5" s="13" t="n">
        <x:v>2014</x:v>
      </x:c>
      <x:c r="B5" s="13" t="n">
        <x:v>26</x:v>
      </x:c>
      <x:c r="C5" s="13" t="str">
        <x:v>Corinthians</x:v>
      </x:c>
      <x:c r="D5" s="13" t="str">
        <x:v>br BRA</x:v>
      </x:c>
      <x:c r="E5" s="13" t="str">
        <x:v>1. Série A</x:v>
      </x:c>
      <x:c r="F5" s="13" t="str">
        <x:v>4th</x:v>
      </x:c>
      <x:c r="G5" s="13" t="n">
        <x:v>34.1</x:v>
      </x:c>
      <x:c r="H5" s="13" t="n">
        <x:v>0</x:v>
      </x:c>
      <x:c r="I5" s="13"/>
      <x:c r="J5" s="13"/>
      <x:c r="K5" s="13"/>
      <x:c r="L5" s="13"/>
      <x:c r="M5" s="13"/>
      <x:c r="N5" s="13"/>
      <x:c r="O5" s="13"/>
      <x:c r="P5" s="13" t="n">
        <x:v>0</x:v>
      </x:c>
      <x:c r="Q5" s="13" t="n">
        <x:v>0</x:v>
      </x:c>
      <x:c r="R5" s="13" t="str">
        <x:v>Matches</x:v>
      </x:c>
    </x:row>
    <x:row r="6">
      <x:c r="A6" s="13" t="n">
        <x:v>2015</x:v>
      </x:c>
      <x:c r="B6" s="13" t="n">
        <x:v>27</x:v>
      </x:c>
      <x:c r="C6" s="13" t="str">
        <x:v>Corinthians</x:v>
      </x:c>
      <x:c r="D6" s="13" t="str">
        <x:v>br BRA</x:v>
      </x:c>
      <x:c r="E6" s="13" t="str">
        <x:v>1. Série A</x:v>
      </x:c>
      <x:c r="F6" s="13" t="str">
        <x:v>1st</x:v>
      </x:c>
      <x:c r="G6" s="13" t="n">
        <x:v>34.5</x:v>
      </x:c>
      <x:c r="H6" s="13" t="n">
        <x:v>0</x:v>
      </x:c>
      <x:c r="I6" s="13"/>
      <x:c r="J6" s="13"/>
      <x:c r="K6" s="13"/>
      <x:c r="L6" s="13"/>
      <x:c r="M6" s="13"/>
      <x:c r="N6" s="13"/>
      <x:c r="O6" s="13"/>
      <x:c r="P6" s="13" t="n">
        <x:v>0</x:v>
      </x:c>
      <x:c r="Q6" s="13" t="n">
        <x:v>0</x:v>
      </x:c>
      <x:c r="R6" s="13" t="str">
        <x:v>Matches</x:v>
      </x:c>
    </x:row>
    <x:row r="7">
      <x:c r="A7" s="13" t="n">
        <x:v>2016</x:v>
      </x:c>
      <x:c r="B7" s="13" t="n">
        <x:v>28</x:v>
      </x:c>
      <x:c r="C7" s="13" t="str">
        <x:v>Corinthians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19.8</x:v>
      </x:c>
      <x:c r="H7" s="13" t="n">
        <x:v>0</x:v>
      </x:c>
      <x:c r="I7" s="13" t="n">
        <x:v>1</x:v>
      </x:c>
      <x:c r="J7" s="13" t="n">
        <x:v>0</x:v>
      </x:c>
      <x:c r="K7" s="13" t="n">
        <x:v>0</x:v>
      </x:c>
      <x:c r="L7" s="13" t="n">
        <x:v>0.05</x:v>
      </x:c>
      <x:c r="M7" s="13" t="n">
        <x:v>0</x:v>
      </x:c>
      <x:c r="N7" s="13" t="n">
        <x:v>0</x:v>
      </x:c>
      <x:c r="O7" s="13"/>
      <x:c r="P7" s="13" t="n">
        <x:v>0</x:v>
      </x:c>
      <x:c r="Q7" s="13" t="n">
        <x:v>0</x:v>
      </x:c>
      <x:c r="R7" s="13" t="str">
        <x:v>Matches</x:v>
      </x:c>
    </x:row>
    <x:row r="8">
      <x:c r="A8" s="13" t="n">
        <x:v>2017</x:v>
      </x:c>
      <x:c r="B8" s="13" t="n">
        <x:v>29</x:v>
      </x:c>
      <x:c r="C8" s="13" t="str">
        <x:v>Corinthians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35</x:v>
      </x:c>
      <x:c r="H8" s="13" t="n">
        <x:v>0</x:v>
      </x:c>
      <x:c r="I8" s="13" t="n">
        <x:v>0</x:v>
      </x:c>
      <x:c r="J8" s="13" t="n">
        <x:v>0</x:v>
      </x:c>
      <x:c r="K8" s="13"/>
      <x:c r="L8" s="13" t="n">
        <x:v>0</x:v>
      </x:c>
      <x:c r="M8" s="13" t="n">
        <x:v>0</x:v>
      </x:c>
      <x:c r="N8" s="13"/>
      <x:c r="O8" s="13"/>
      <x:c r="P8" s="13" t="n">
        <x:v>0</x:v>
      </x:c>
      <x:c r="Q8" s="13" t="n">
        <x:v>0</x:v>
      </x:c>
      <x:c r="R8" s="13" t="str">
        <x:v>Matches</x:v>
      </x:c>
    </x:row>
    <x:row r="9">
      <x:c r="A9" s="13" t="n">
        <x:v>2018</x:v>
      </x:c>
      <x:c r="B9" s="13" t="n">
        <x:v>30</x:v>
      </x:c>
      <x:c r="C9" s="13" t="str">
        <x:v>Corinthians</x:v>
      </x:c>
      <x:c r="D9" s="13" t="str">
        <x:v>br BRA</x:v>
      </x:c>
      <x:c r="E9" s="13" t="str">
        <x:v>1. Série A</x:v>
      </x:c>
      <x:c r="F9" s="13" t="str">
        <x:v>13th</x:v>
      </x:c>
      <x:c r="G9" s="13" t="n">
        <x:v>26.4</x:v>
      </x:c>
      <x:c r="H9" s="13" t="n">
        <x:v>0</x:v>
      </x:c>
      <x:c r="I9" s="13" t="n">
        <x:v>0</x:v>
      </x:c>
      <x:c r="J9" s="13" t="n">
        <x:v>0</x:v>
      </x:c>
      <x:c r="K9" s="13"/>
      <x:c r="L9" s="13" t="n">
        <x:v>0</x:v>
      </x:c>
      <x:c r="M9" s="13" t="n">
        <x:v>0</x:v>
      </x:c>
      <x:c r="N9" s="13"/>
      <x:c r="O9" s="13"/>
      <x:c r="P9" s="13" t="n">
        <x:v>0</x:v>
      </x:c>
      <x:c r="Q9" s="13" t="n">
        <x:v>0</x:v>
      </x:c>
      <x:c r="R9" s="13" t="str">
        <x:v>Matches</x:v>
      </x:c>
    </x:row>
    <x:row r="10">
      <x:c r="A10" s="13" t="n">
        <x:v>2019</x:v>
      </x:c>
      <x:c r="B10" s="13" t="n">
        <x:v>31</x:v>
      </x:c>
      <x:c r="C10" s="13" t="str">
        <x:v>Corinthians</x:v>
      </x:c>
      <x:c r="D10" s="13" t="str">
        <x:v>br BRA</x:v>
      </x:c>
      <x:c r="E10" s="13" t="str">
        <x:v>1. Série A</x:v>
      </x:c>
      <x:c r="F10" s="13" t="str">
        <x:v>8th</x:v>
      </x:c>
      <x:c r="G10" s="13" t="n">
        <x:v>31.8</x:v>
      </x:c>
      <x:c r="H10" s="13" t="n">
        <x:v>0</x:v>
      </x:c>
      <x:c r="I10" s="13" t="n">
        <x:v>0</x:v>
      </x:c>
      <x:c r="J10" s="13" t="n">
        <x:v>0</x:v>
      </x:c>
      <x:c r="K10" s="13"/>
      <x:c r="L10" s="13" t="n">
        <x:v>0</x:v>
      </x:c>
      <x:c r="M10" s="13" t="n">
        <x:v>0</x:v>
      </x:c>
      <x:c r="N10" s="13"/>
      <x:c r="O10" s="13"/>
      <x:c r="P10" s="13" t="n">
        <x:v>0</x:v>
      </x:c>
      <x:c r="Q10" s="13" t="n">
        <x:v>0</x:v>
      </x:c>
      <x:c r="R10" s="13" t="str">
        <x:v>Matches</x:v>
      </x:c>
    </x:row>
    <x:row r="11">
      <x:c r="A11" s="13" t="n">
        <x:v>2020</x:v>
      </x:c>
      <x:c r="B11" s="13" t="n">
        <x:v>32</x:v>
      </x:c>
      <x:c r="C11" s="13" t="str">
        <x:v>Corinthians</x:v>
      </x:c>
      <x:c r="D11" s="13" t="str">
        <x:v>br BRA</x:v>
      </x:c>
      <x:c r="E11" s="13" t="str">
        <x:v>1. Série A</x:v>
      </x:c>
      <x:c r="F11" s="13" t="str">
        <x:v>12th</x:v>
      </x:c>
      <x:c r="G11" s="13" t="n">
        <x:v>34.9</x:v>
      </x:c>
      <x:c r="H11" s="13" t="n">
        <x:v>0</x:v>
      </x:c>
      <x:c r="I11" s="13" t="n">
        <x:v>0</x:v>
      </x:c>
      <x:c r="J11" s="13" t="n">
        <x:v>0</x:v>
      </x:c>
      <x:c r="K11" s="13"/>
      <x:c r="L11" s="13" t="n">
        <x:v>0</x:v>
      </x:c>
      <x:c r="M11" s="13" t="n">
        <x:v>0</x:v>
      </x:c>
      <x:c r="N11" s="13"/>
      <x:c r="O11" s="13"/>
      <x:c r="P11" s="13" t="n">
        <x:v>0</x:v>
      </x:c>
      <x:c r="Q11" s="13" t="n">
        <x:v>0</x:v>
      </x:c>
      <x:c r="R11" s="13" t="str">
        <x:v>Matches</x:v>
      </x:c>
    </x:row>
    <x:row r="12">
      <x:c r="A12" s="13" t="n">
        <x:v>2021</x:v>
      </x:c>
      <x:c r="B12" s="13" t="n">
        <x:v>33</x:v>
      </x:c>
      <x:c r="C12" s="13" t="str">
        <x:v>Corinthians</x:v>
      </x:c>
      <x:c r="D12" s="13" t="str">
        <x:v>br BRA</x:v>
      </x:c>
      <x:c r="E12" s="13" t="str">
        <x:v>1. Série A</x:v>
      </x:c>
      <x:c r="F12" s="13" t="str">
        <x:v>5th</x:v>
      </x:c>
      <x:c r="G12" s="13" t="n">
        <x:v>37</x:v>
      </x:c>
      <x:c r="H12" s="13" t="n">
        <x:v>0</x:v>
      </x:c>
      <x:c r="I12" s="13" t="n">
        <x:v>0</x:v>
      </x:c>
      <x:c r="J12" s="13" t="n">
        <x:v>0</x:v>
      </x:c>
      <x:c r="K12" s="13"/>
      <x:c r="L12" s="13" t="n">
        <x:v>0</x:v>
      </x:c>
      <x:c r="M12" s="13" t="n">
        <x:v>0</x:v>
      </x:c>
      <x:c r="N12" s="13"/>
      <x:c r="O12" s="13"/>
      <x:c r="P12" s="13" t="n">
        <x:v>0</x:v>
      </x:c>
      <x:c r="Q12" s="13" t="n">
        <x:v>0</x:v>
      </x:c>
      <x:c r="R12" s="13" t="str">
        <x:v>Matches</x:v>
      </x:c>
    </x:row>
    <x:row r="13">
      <x:c r="A13" s="13" t="n">
        <x:v>2022</x:v>
      </x:c>
      <x:c r="B13" s="13" t="n">
        <x:v>34</x:v>
      </x:c>
      <x:c r="C13" s="13" t="str">
        <x:v>Corinthians</x:v>
      </x:c>
      <x:c r="D13" s="13" t="str">
        <x:v>br BRA</x:v>
      </x:c>
      <x:c r="E13" s="13" t="str">
        <x:v>1. Série A</x:v>
      </x:c>
      <x:c r="F13" s="13" t="str">
        <x:v>4th</x:v>
      </x:c>
      <x:c r="G13" s="13" t="n">
        <x:v>34</x:v>
      </x:c>
      <x:c r="H13" s="13" t="n">
        <x:v>0</x:v>
      </x:c>
      <x:c r="I13" s="13" t="n">
        <x:v>0</x:v>
      </x:c>
      <x:c r="J13" s="13" t="n">
        <x:v>0</x:v>
      </x:c>
      <x:c r="K13" s="13"/>
      <x:c r="L13" s="13" t="n">
        <x:v>0</x:v>
      </x:c>
      <x:c r="M13" s="13" t="n">
        <x:v>0</x:v>
      </x:c>
      <x:c r="N13" s="13"/>
      <x:c r="O13" s="13"/>
      <x:c r="P13" s="13" t="n">
        <x:v>0</x:v>
      </x:c>
      <x:c r="Q13" s="13" t="n">
        <x:v>0</x:v>
      </x:c>
      <x:c r="R13" s="13" t="str">
        <x:v>Matches</x:v>
      </x:c>
    </x:row>
    <x:row r="14">
      <x:c r="A14" s="13" t="n">
        <x:v>2023</x:v>
      </x:c>
      <x:c r="B14" s="13" t="n">
        <x:v>35</x:v>
      </x:c>
      <x:c r="C14" s="13" t="str">
        <x:v>Corinthians</x:v>
      </x:c>
      <x:c r="D14" s="13" t="str">
        <x:v>br BRA</x:v>
      </x:c>
      <x:c r="E14" s="13" t="str">
        <x:v>1. Série A</x:v>
      </x:c>
      <x:c r="F14" s="13" t="str">
        <x:v>13th</x:v>
      </x:c>
      <x:c r="G14" s="13" t="n">
        <x:v>36.8</x:v>
      </x:c>
      <x:c r="H14" s="13" t="n">
        <x:v>0</x:v>
      </x:c>
      <x:c r="I14" s="13" t="n">
        <x:v>0</x:v>
      </x:c>
      <x:c r="J14" s="13" t="n">
        <x:v>0</x:v>
      </x:c>
      <x:c r="K14" s="13"/>
      <x:c r="L14" s="13" t="n">
        <x:v>0</x:v>
      </x:c>
      <x:c r="M14" s="13" t="n">
        <x:v>0</x:v>
      </x:c>
      <x:c r="N14" s="13"/>
      <x:c r="O14" s="13"/>
      <x:c r="P14" s="13" t="n">
        <x:v>0</x:v>
      </x:c>
      <x:c r="Q14" s="13" t="n">
        <x:v>0</x:v>
      </x:c>
      <x:c r="R14" s="13" t="str">
        <x:v>Matches</x:v>
      </x:c>
    </x:row>
    <x:row r="15">
      <x:c r="A15" s="13" t="n">
        <x:v>2024</x:v>
      </x:c>
      <x:c r="B15" s="13" t="n">
        <x:v>36</x:v>
      </x:c>
      <x:c r="C15" s="13" t="str">
        <x:v>Corinthians</x:v>
      </x:c>
      <x:c r="D15" s="13" t="str">
        <x:v>br BRA</x:v>
      </x:c>
      <x:c r="E15" s="13" t="str">
        <x:v>1. Série A</x:v>
      </x:c>
      <x:c r="F15" s="13" t="str">
        <x:v>7th</x:v>
      </x:c>
      <x:c r="G15" s="13" t="n">
        <x:v>3</x:v>
      </x:c>
      <x:c r="H15" s="13" t="n">
        <x:v>0</x:v>
      </x:c>
      <x:c r="I15" s="13" t="n">
        <x:v>0</x:v>
      </x:c>
      <x:c r="J15" s="13" t="n">
        <x:v>0</x:v>
      </x:c>
      <x:c r="K15" s="13"/>
      <x:c r="L15" s="13" t="n">
        <x:v>0</x:v>
      </x:c>
      <x:c r="M15" s="13" t="n">
        <x:v>0</x:v>
      </x:c>
      <x:c r="N15" s="13"/>
      <x:c r="O15" s="13"/>
      <x:c r="P15" s="13" t="n">
        <x:v>0</x:v>
      </x:c>
      <x:c r="Q15" s="13" t="n">
        <x:v>0</x:v>
      </x:c>
      <x:c r="R15" s="13" t="str">
        <x:v>Matches</x:v>
      </x:c>
    </x:row>
    <x:row r="16">
      <x:c r="A16" s="13" t="n">
        <x:v>2024</x:v>
      </x:c>
      <x:c r="B16" s="13" t="n">
        <x:v>36</x:v>
      </x:c>
      <x:c r="C16" s="13" t="str">
        <x:v>Cruzeiro</x:v>
      </x:c>
      <x:c r="D16" s="13" t="str">
        <x:v>br BRA</x:v>
      </x:c>
      <x:c r="E16" s="13" t="str">
        <x:v>1. Série A</x:v>
      </x:c>
      <x:c r="F16" s="13" t="str">
        <x:v>9th</x:v>
      </x:c>
      <x:c r="G16" s="13" t="n">
        <x:v>21</x:v>
      </x:c>
      <x:c r="H16" s="13" t="n">
        <x:v>0</x:v>
      </x:c>
      <x:c r="I16" s="13" t="n">
        <x:v>0</x:v>
      </x:c>
      <x:c r="J16" s="13" t="n">
        <x:v>0</x:v>
      </x:c>
      <x:c r="K16" s="13"/>
      <x:c r="L16" s="13" t="n">
        <x:v>0</x:v>
      </x:c>
      <x:c r="M16" s="13" t="n">
        <x:v>0</x:v>
      </x:c>
      <x:c r="N16" s="13"/>
      <x:c r="O16" s="13"/>
      <x:c r="P16" s="13" t="n">
        <x:v>0</x:v>
      </x:c>
      <x:c r="Q16" s="13" t="n">
        <x:v>0</x:v>
      </x:c>
      <x:c r="R16" s="13" t="str">
        <x:v>Matches</x:v>
      </x:c>
    </x:row>
    <x:row r="17">
      <x:c r="A17" s="13" t="n">
        <x:v>2025</x:v>
      </x:c>
      <x:c r="B17" s="13" t="n">
        <x:v>37</x:v>
      </x:c>
      <x:c r="C17" s="13" t="str">
        <x:v>Cruzeiro</x:v>
      </x:c>
      <x:c r="D17" s="13" t="str">
        <x:v>br BRA</x:v>
      </x:c>
      <x:c r="E17" s="13" t="str">
        <x:v>1. Série A</x:v>
      </x:c>
      <x:c r="F17" s="13" t="str">
        <x:v>3rd</x:v>
      </x:c>
      <x:c r="G17" s="13" t="n">
        <x:v>34.3</x:v>
      </x:c>
      <x:c r="H17" s="13" t="n">
        <x:v>0</x:v>
      </x:c>
      <x:c r="I17" s="13" t="n">
        <x:v>0</x:v>
      </x:c>
      <x:c r="J17" s="13" t="n">
        <x:v>0</x:v>
      </x:c>
      <x:c r="K17" s="13"/>
      <x:c r="L17" s="13" t="n">
        <x:v>0</x:v>
      </x:c>
      <x:c r="M17" s="13" t="n">
        <x:v>0</x:v>
      </x:c>
      <x:c r="N17" s="13"/>
      <x:c r="O17" s="13"/>
      <x:c r="P17" s="13" t="n">
        <x:v>0</x:v>
      </x:c>
      <x:c r="Q17" s="13" t="n">
        <x:v>0</x:v>
      </x:c>
      <x:c r="R17" s="13" t="str">
        <x:v>Matches</x:v>
      </x:c>
    </x:row>
    <x:row r="18">
      <x:c r="A18" s="13" t="n">
        <x:v>2026</x:v>
      </x:c>
      <x:c r="B18" s="13" t="n">
        <x:v>38</x:v>
      </x:c>
      <x:c r="C18" s="13" t="str">
        <x:v>Cruzeiro</x:v>
      </x:c>
      <x:c r="D18" s="13" t="str">
        <x:v>br BRA</x:v>
      </x:c>
      <x:c r="E18" s="13" t="str">
        <x:v>1. Série A</x:v>
      </x:c>
      <x:c r="F18" s="13" t="str">
        <x:v>11th</x:v>
      </x:c>
      <x:c r="G18" s="13" t="n">
        <x:v>4.7</x:v>
      </x:c>
      <x:c r="H18" s="13" t="n">
        <x:v>0</x:v>
      </x:c>
      <x:c r="I18" s="13" t="n">
        <x:v>0</x:v>
      </x:c>
      <x:c r="J18" s="13" t="n">
        <x:v>0</x:v>
      </x:c>
      <x:c r="K18" s="13"/>
      <x:c r="L18" s="13" t="n">
        <x:v>0</x:v>
      </x:c>
      <x:c r="M18" s="13" t="n">
        <x:v>0</x:v>
      </x:c>
      <x:c r="N18" s="13"/>
      <x:c r="O18" s="13"/>
      <x:c r="P18" s="13" t="n">
        <x:v>0</x:v>
      </x:c>
      <x:c r="Q18" s="13" t="n">
        <x:v>0</x:v>
      </x:c>
      <x:c r="R18" s="13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51a9926f04d84f9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12" t="str">
        <x:v>Country</x:v>
      </x:c>
      <x:c r="B1" s="12" t="str">
        <x:v>Comp</x:v>
      </x:c>
      <x:c r="C1" s="12" t="str">
        <x:v>LgRank</x:v>
      </x:c>
      <x:c r="D1" s="12" t="str">
        <x:v>90s</x:v>
      </x:c>
      <x:c r="E1" s="12" t="str">
        <x:v>Gls</x:v>
      </x:c>
      <x:c r="F1" s="12" t="str">
        <x:v>Sh</x:v>
      </x:c>
      <x:c r="G1" s="12" t="str">
        <x:v>SoT</x:v>
      </x:c>
      <x:c r="H1" s="12" t="str">
        <x:v>SoT%</x:v>
      </x:c>
      <x:c r="I1" s="12" t="str">
        <x:v>Sh/90</x:v>
      </x:c>
      <x:c r="J1" s="12" t="str">
        <x:v>SoT/90</x:v>
      </x:c>
      <x:c r="K1" s="12" t="str">
        <x:v>G/Sh</x:v>
      </x:c>
      <x:c r="L1" s="12" t="str">
        <x:v>G/SoT</x:v>
      </x:c>
      <x:c r="M1" s="12" t="str">
        <x:v>PK</x:v>
      </x:c>
      <x:c r="N1" s="12" t="str">
        <x:v>PKatt</x:v>
      </x:c>
      <x:c r="O1" s="12" t="str">
        <x:v>Matches</x:v>
      </x:c>
      <x:c r="P1" s="12"/>
      <x:c r="Q1" s="12"/>
      <x:c r="R1" s="12"/>
    </x:row>
    <x:row r="2">
      <x:c r="A2" s="13" t="str">
        <x:v>Corinthians (11 Seasons)</x:v>
      </x:c>
      <x:c r="B2" s="13"/>
      <x:c r="C2" s="13" t="str">
        <x:v>1 League</x:v>
      </x:c>
      <x:c r="D2" s="13"/>
      <x:c r="E2" s="13" t="n">
        <x:v>327.3</x:v>
      </x:c>
      <x:c r="F2" s="13" t="n">
        <x:v>0</x:v>
      </x:c>
      <x:c r="G2" s="13" t="n">
        <x:v>1</x:v>
      </x:c>
      <x:c r="H2" s="13" t="n">
        <x:v>0</x:v>
      </x:c>
      <x:c r="I2" s="13" t="n">
        <x:v>0</x:v>
      </x:c>
      <x:c r="J2" s="13" t="n">
        <x:v>0</x:v>
      </x:c>
      <x:c r="K2" s="13" t="n">
        <x:v>0</x:v>
      </x:c>
      <x:c r="L2" s="13" t="n">
        <x:v>0</x:v>
      </x:c>
      <x:c r="M2" s="13"/>
      <x:c r="N2" s="13" t="n">
        <x:v>0</x:v>
      </x:c>
      <x:c r="O2" s="13" t="n">
        <x:v>0</x:v>
      </x:c>
      <x:c r="P2" s="13"/>
      <x:c r="Q2" s="13"/>
      <x:c r="R2" s="13"/>
    </x:row>
    <x:row r="3">
      <x:c r="A3" s="13" t="str">
        <x:v>Cruzeiro (3 Seasons)</x:v>
      </x:c>
      <x:c r="B3" s="13"/>
      <x:c r="C3" s="13" t="str">
        <x:v>1 League</x:v>
      </x:c>
      <x:c r="D3" s="13"/>
      <x:c r="E3" s="13" t="n">
        <x:v>60</x:v>
      </x:c>
      <x:c r="F3" s="13" t="n">
        <x:v>0</x:v>
      </x:c>
      <x:c r="G3" s="13" t="n">
        <x:v>0</x:v>
      </x:c>
      <x:c r="H3" s="13" t="n">
        <x:v>0</x:v>
      </x:c>
      <x:c r="I3" s="13"/>
      <x:c r="J3" s="13" t="n">
        <x:v>0</x:v>
      </x:c>
      <x:c r="K3" s="13" t="n">
        <x:v>0</x:v>
      </x:c>
      <x:c r="L3" s="13"/>
      <x:c r="M3" s="13"/>
      <x:c r="N3" s="13" t="n">
        <x:v>0</x:v>
      </x:c>
      <x:c r="O3" s="13" t="n">
        <x:v>0</x:v>
      </x:c>
      <x:c r="P3" s="13"/>
      <x:c r="Q3" s="13"/>
      <x:c r="R3" s="13"/>
    </x:row>
    <x:row r="4">
      <x:c r="A4" s="13" t="str">
        <x:v>PSV (2 Seasons)</x:v>
      </x:c>
      <x:c r="B4" s="13"/>
      <x:c r="C4" s="13" t="str">
        <x:v>1 League</x:v>
      </x:c>
      <x:c r="D4" s="13"/>
      <x:c r="E4" s="13" t="n">
        <x:v>2.5</x:v>
      </x:c>
      <x:c r="F4" s="13" t="n">
        <x:v>0</x:v>
      </x:c>
      <x:c r="G4" s="13"/>
      <x:c r="H4" s="13" t="n">
        <x:v>0</x:v>
      </x:c>
      <x:c r="I4" s="13"/>
      <x:c r="J4" s="13"/>
      <x:c r="K4" s="13" t="n">
        <x:v>0</x:v>
      </x:c>
      <x:c r="L4" s="13"/>
      <x:c r="M4" s="13"/>
      <x:c r="N4" s="13" t="n">
        <x:v>0</x:v>
      </x:c>
      <x:c r="O4" s="13" t="n">
        <x:v>0</x:v>
      </x:c>
      <x:c r="P4" s="13"/>
      <x:c r="Q4" s="13"/>
      <x:c r="R4" s="13"/>
    </x:row>
    <x:row r="5">
      <x:c r="A5" s="13" t="str">
        <x:v>Sparta Rotterdam (1 Season)</x:v>
      </x:c>
      <x:c r="B5" s="13"/>
      <x:c r="C5" s="13" t="str">
        <x:v>1 League</x:v>
      </x:c>
      <x:c r="D5" s="13"/>
      <x:c r="E5" s="13" t="n">
        <x:v>14</x:v>
      </x:c>
      <x:c r="F5" s="13" t="n">
        <x:v>0</x:v>
      </x:c>
      <x:c r="G5" s="13"/>
      <x:c r="H5" s="13" t="n">
        <x:v>0</x:v>
      </x:c>
      <x:c r="I5" s="13"/>
      <x:c r="J5" s="13"/>
      <x:c r="K5" s="13" t="n">
        <x:v>0</x:v>
      </x:c>
      <x:c r="L5" s="13"/>
      <x:c r="M5" s="13"/>
      <x:c r="N5" s="13" t="n">
        <x:v>0</x:v>
      </x:c>
      <x:c r="O5" s="13" t="n">
        <x:v>0</x:v>
      </x:c>
      <x:c r="P5" s="13"/>
      <x:c r="Q5" s="13"/>
      <x:c r="R5" s="13"/>
    </x:row>
    <x:row r="6">
      <x:c r="A6" s="13" t="str">
        <x:v>Série A (13 Seasons)</x:v>
      </x:c>
      <x:c r="B6" s="13"/>
      <x:c r="C6" s="13"/>
      <x:c r="D6" s="13"/>
      <x:c r="E6" s="13" t="n">
        <x:v>387.2</x:v>
      </x:c>
      <x:c r="F6" s="13" t="n">
        <x:v>0</x:v>
      </x:c>
      <x:c r="G6" s="13" t="n">
        <x:v>1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/>
      <x:c r="N6" s="13" t="n">
        <x:v>0</x:v>
      </x:c>
      <x:c r="O6" s="13" t="n">
        <x:v>0</x:v>
      </x:c>
      <x:c r="P6" s="13"/>
      <x:c r="Q6" s="13"/>
      <x:c r="R6" s="13"/>
    </x:row>
    <x:row r="7">
      <x:c r="A7" s="13" t="str">
        <x:v>Eredivisie (2 Seasons)</x:v>
      </x:c>
      <x:c r="B7" s="13"/>
      <x:c r="C7" s="13"/>
      <x:c r="D7" s="13"/>
      <x:c r="E7" s="13" t="n">
        <x:v>16.5</x:v>
      </x:c>
      <x:c r="F7" s="13" t="n">
        <x:v>0</x:v>
      </x:c>
      <x:c r="G7" s="13"/>
      <x:c r="H7" s="13" t="n">
        <x:v>0</x:v>
      </x:c>
      <x:c r="I7" s="13"/>
      <x:c r="J7" s="13"/>
      <x:c r="K7" s="13" t="n">
        <x:v>0</x:v>
      </x:c>
      <x:c r="L7" s="13"/>
      <x:c r="M7" s="13"/>
      <x:c r="N7" s="13" t="n">
        <x:v>0</x:v>
      </x:c>
      <x:c r="O7" s="13" t="n">
        <x:v>0</x:v>
      </x:c>
      <x:c r="P7" s="13"/>
      <x:c r="Q7" s="13"/>
      <x:c r="R7" s="13"/>
    </x:row>
    <x:row r="8">
      <x:c r="A8" s="13" t="str">
        <x:v>15 Seasons</x:v>
      </x:c>
      <x:c r="B8" s="13" t="str">
        <x:v>4 Clubs</x:v>
      </x:c>
      <x:c r="C8" s="13"/>
      <x:c r="D8" s="13" t="str">
        <x:v>2 Leagues</x:v>
      </x:c>
      <x:c r="E8" s="13"/>
      <x:c r="F8" s="13" t="n">
        <x:v>403.7</x:v>
      </x:c>
      <x:c r="G8" s="13" t="n">
        <x:v>0</x:v>
      </x:c>
      <x:c r="H8" s="13" t="n">
        <x:v>1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/>
      <x:c r="O8" s="13" t="n">
        <x:v>0</x:v>
      </x:c>
      <x:c r="P8" s="13" t="n">
        <x:v>0</x:v>
      </x:c>
      <x:c r="Q8" s="13"/>
      <x:c r="R8" s="13"/>
    </x:row>
  </x:sheetData>
  <x:pageMargins left="0.7" right="0.7" top="0.75" bottom="0.75" header="0.3" footer="0.3"/>
  <x:tableParts count="1">
    <x:tablePart xmlns:r="http://schemas.openxmlformats.org/officeDocument/2006/relationships" r:id="Rf65a6d9bc98249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LgRank</x:v>
      </x:c>
      <x:c r="G1" s="12" t="str">
        <x:v>MP</x:v>
      </x:c>
      <x:c r="H1" s="12" t="str">
        <x:v>Min</x:v>
      </x:c>
      <x:c r="I1" s="12" t="str">
        <x:v>Mn/MP</x:v>
      </x:c>
      <x:c r="J1" s="12" t="str">
        <x:v>Min%</x:v>
      </x:c>
      <x:c r="K1" s="12" t="str">
        <x:v>90s</x:v>
      </x:c>
      <x:c r="L1" s="12" t="str">
        <x:v>Starts</x:v>
      </x:c>
      <x:c r="M1" s="12" t="str">
        <x:v>Mn/Start</x:v>
      </x:c>
      <x:c r="N1" s="12" t="str">
        <x:v>Compl</x:v>
      </x:c>
      <x:c r="O1" s="12" t="str">
        <x:v>Subs</x:v>
      </x:c>
      <x:c r="P1" s="12" t="str">
        <x:v>Mn/Sub</x:v>
      </x:c>
      <x:c r="Q1" s="12" t="str">
        <x:v>unSub</x:v>
      </x:c>
      <x:c r="R1" s="12" t="str">
        <x:v>PPM</x:v>
      </x:c>
      <x:c r="S1" s="12" t="str">
        <x:v>onG</x:v>
      </x:c>
      <x:c r="T1" s="12" t="str">
        <x:v>onGA</x:v>
      </x:c>
      <x:c r="U1" s="12" t="str">
        <x:v>+/-</x:v>
      </x:c>
      <x:c r="V1" s="12" t="str">
        <x:v>+/-90</x:v>
      </x:c>
      <x:c r="W1" s="12" t="str">
        <x:v>On-Off</x:v>
      </x:c>
      <x:c r="X1" s="12" t="str">
        <x:v>Matches</x:v>
      </x:c>
    </x:row>
    <x:row r="2">
      <x:c r="A2" s="13" t="str">
        <x:v>2008-2009</x:v>
      </x:c>
      <x:c r="B2" s="13" t="n">
        <x:v>21</x:v>
      </x:c>
      <x:c r="C2" s="13" t="str">
        <x:v>Sparta Rotterdam</x:v>
      </x:c>
      <x:c r="D2" s="13" t="str">
        <x:v>nl NED</x:v>
      </x:c>
      <x:c r="E2" s="13" t="str">
        <x:v>1. Eredivisie</x:v>
      </x:c>
      <x:c r="F2" s="13" t="str">
        <x:v>13th</x:v>
      </x:c>
      <x:c r="G2" s="13" t="n">
        <x:v>14</x:v>
      </x:c>
      <x:c r="H2" s="13" t="n">
        <x:v>1260</x:v>
      </x:c>
      <x:c r="I2" s="13" t="n">
        <x:v>90</x:v>
      </x:c>
      <x:c r="J2" s="13" t="n">
        <x:v>41.2</x:v>
      </x:c>
      <x:c r="K2" s="13" t="n">
        <x:v>14</x:v>
      </x:c>
      <x:c r="L2" s="13" t="n">
        <x:v>14</x:v>
      </x:c>
      <x:c r="M2" s="13"/>
      <x:c r="N2" s="13" t="n">
        <x:v>14</x:v>
      </x:c>
      <x:c r="O2" s="13" t="n">
        <x:v>0</x:v>
      </x:c>
      <x:c r="P2" s="13"/>
      <x:c r="Q2" s="13"/>
      <x:c r="R2" s="13"/>
      <x:c r="S2" s="13"/>
      <x:c r="T2" s="13"/>
      <x:c r="U2" s="13"/>
      <x:c r="V2" s="13"/>
      <x:c r="W2" s="13"/>
      <x:c r="X2" s="13" t="str">
        <x:v>Matches</x:v>
      </x:c>
    </x:row>
    <x:row r="3">
      <x:c r="A3" s="13" t="str">
        <x:v>2008-2009</x:v>
      </x:c>
      <x:c r="B3" s="13" t="n">
        <x:v>21</x:v>
      </x:c>
      <x:c r="C3" s="13" t="str">
        <x:v>PSV</x:v>
      </x:c>
      <x:c r="D3" s="13" t="str">
        <x:v>nl NED</x:v>
      </x:c>
      <x:c r="E3" s="13" t="str">
        <x:v>1. Eredivisie</x:v>
      </x:c>
      <x:c r="F3" s="13" t="str">
        <x:v>4th</x:v>
      </x:c>
      <x:c r="G3" s="13" t="n">
        <x:v>1</x:v>
      </x:c>
      <x:c r="H3" s="13" t="n">
        <x:v>90</x:v>
      </x:c>
      <x:c r="I3" s="13" t="n">
        <x:v>90</x:v>
      </x:c>
      <x:c r="J3" s="13" t="n">
        <x:v>2.9</x:v>
      </x:c>
      <x:c r="K3" s="13" t="n">
        <x:v>1</x:v>
      </x:c>
      <x:c r="L3" s="13" t="n">
        <x:v>1</x:v>
      </x:c>
      <x:c r="M3" s="13"/>
      <x:c r="N3" s="13" t="n">
        <x:v>1</x:v>
      </x:c>
      <x:c r="O3" s="13" t="n">
        <x:v>0</x:v>
      </x:c>
      <x:c r="P3" s="13"/>
      <x:c r="Q3" s="13"/>
      <x:c r="R3" s="13"/>
      <x:c r="S3" s="13"/>
      <x:c r="T3" s="13"/>
      <x:c r="U3" s="13"/>
      <x:c r="V3" s="13"/>
      <x:c r="W3" s="13"/>
      <x:c r="X3" s="13" t="str">
        <x:v>Matches</x:v>
      </x:c>
    </x:row>
    <x:row r="4">
      <x:c r="A4" s="13" t="str">
        <x:v>2010-2011</x:v>
      </x:c>
      <x:c r="B4" s="13" t="n">
        <x:v>23</x:v>
      </x:c>
      <x:c r="C4" s="13" t="str">
        <x:v>PSV</x:v>
      </x:c>
      <x:c r="D4" s="13" t="str">
        <x:v>nl NED</x:v>
      </x:c>
      <x:c r="E4" s="13" t="str">
        <x:v>1. Eredivisie</x:v>
      </x:c>
      <x:c r="F4" s="13" t="str">
        <x:v>3rd</x:v>
      </x:c>
      <x:c r="G4" s="13" t="n">
        <x:v>2</x:v>
      </x:c>
      <x:c r="H4" s="13" t="n">
        <x:v>131</x:v>
      </x:c>
      <x:c r="I4" s="13" t="n">
        <x:v>66</x:v>
      </x:c>
      <x:c r="J4" s="13" t="n">
        <x:v>4.3</x:v>
      </x:c>
      <x:c r="K4" s="13" t="n">
        <x:v>1.5</x:v>
      </x:c>
      <x:c r="L4" s="13" t="n">
        <x:v>0</x:v>
      </x:c>
      <x:c r="M4" s="13"/>
      <x:c r="N4" s="13"/>
      <x:c r="O4" s="13" t="n">
        <x:v>2</x:v>
      </x:c>
      <x:c r="P4" s="13"/>
      <x:c r="Q4" s="13"/>
      <x:c r="R4" s="13"/>
      <x:c r="S4" s="13"/>
      <x:c r="T4" s="13"/>
      <x:c r="U4" s="13"/>
      <x:c r="V4" s="13"/>
      <x:c r="W4" s="13"/>
      <x:c r="X4" s="13" t="str">
        <x:v>Matches</x:v>
      </x:c>
    </x:row>
    <x:row r="5">
      <x:c r="A5" s="13" t="n">
        <x:v>2014</x:v>
      </x:c>
      <x:c r="B5" s="13" t="n">
        <x:v>26</x:v>
      </x:c>
      <x:c r="C5" s="13" t="str">
        <x:v>Corinthians</x:v>
      </x:c>
      <x:c r="D5" s="13" t="str">
        <x:v>br BRA</x:v>
      </x:c>
      <x:c r="E5" s="13" t="str">
        <x:v>1. Série A</x:v>
      </x:c>
      <x:c r="F5" s="13" t="str">
        <x:v>4th</x:v>
      </x:c>
      <x:c r="G5" s="13" t="n">
        <x:v>35</x:v>
      </x:c>
      <x:c r="H5" s="13" t="n">
        <x:v>3068</x:v>
      </x:c>
      <x:c r="I5" s="13" t="n">
        <x:v>88</x:v>
      </x:c>
      <x:c r="J5" s="13" t="n">
        <x:v>89.7</x:v>
      </x:c>
      <x:c r="K5" s="13" t="n">
        <x:v>34.1</x:v>
      </x:c>
      <x:c r="L5" s="13" t="n">
        <x:v>35</x:v>
      </x:c>
      <x:c r="M5" s="13" t="n">
        <x:v>88</x:v>
      </x:c>
      <x:c r="N5" s="13" t="n">
        <x:v>34</x:v>
      </x:c>
      <x:c r="O5" s="13" t="n">
        <x:v>0</x:v>
      </x:c>
      <x:c r="P5" s="13"/>
      <x:c r="Q5" s="13" t="n">
        <x:v>0</x:v>
      </x:c>
      <x:c r="R5" s="13" t="n">
        <x:v>1.77</x:v>
      </x:c>
      <x:c r="S5" s="13" t="n">
        <x:v>41</x:v>
      </x:c>
      <x:c r="T5" s="13" t="n">
        <x:v>28</x:v>
      </x:c>
      <x:c r="U5" s="13" t="n">
        <x:v>13</x:v>
      </x:c>
      <x:c r="V5" s="13" t="n">
        <x:v>0.38</x:v>
      </x:c>
      <x:c r="W5" s="13" t="n">
        <x:v>-0.9</x:v>
      </x:c>
      <x:c r="X5" s="13" t="str">
        <x:v>Matches</x:v>
      </x:c>
    </x:row>
    <x:row r="6">
      <x:c r="A6" s="13" t="n">
        <x:v>2015</x:v>
      </x:c>
      <x:c r="B6" s="13" t="n">
        <x:v>27</x:v>
      </x:c>
      <x:c r="C6" s="13" t="str">
        <x:v>Corinthians</x:v>
      </x:c>
      <x:c r="D6" s="13" t="str">
        <x:v>br BRA</x:v>
      </x:c>
      <x:c r="E6" s="13" t="str">
        <x:v>1. Série A</x:v>
      </x:c>
      <x:c r="F6" s="13" t="str">
        <x:v>1st</x:v>
      </x:c>
      <x:c r="G6" s="13" t="n">
        <x:v>35</x:v>
      </x:c>
      <x:c r="H6" s="13" t="n">
        <x:v>3105</x:v>
      </x:c>
      <x:c r="I6" s="13" t="n">
        <x:v>89</x:v>
      </x:c>
      <x:c r="J6" s="13" t="n">
        <x:v>90.8</x:v>
      </x:c>
      <x:c r="K6" s="13" t="n">
        <x:v>34.5</x:v>
      </x:c>
      <x:c r="L6" s="13" t="n">
        <x:v>35</x:v>
      </x:c>
      <x:c r="M6" s="13" t="n">
        <x:v>89</x:v>
      </x:c>
      <x:c r="N6" s="13" t="n">
        <x:v>34</x:v>
      </x:c>
      <x:c r="O6" s="13" t="n">
        <x:v>0</x:v>
      </x:c>
      <x:c r="P6" s="13"/>
      <x:c r="Q6" s="13" t="n">
        <x:v>0</x:v>
      </x:c>
      <x:c r="R6" s="13" t="n">
        <x:v>2.14</x:v>
      </x:c>
      <x:c r="S6" s="13" t="n">
        <x:v>66</x:v>
      </x:c>
      <x:c r="T6" s="13" t="n">
        <x:v>29</x:v>
      </x:c>
      <x:c r="U6" s="13" t="n">
        <x:v>37</x:v>
      </x:c>
      <x:c r="V6" s="13" t="n">
        <x:v>1.07</x:v>
      </x:c>
      <x:c r="W6" s="13" t="n">
        <x:v>0.22</x:v>
      </x:c>
      <x:c r="X6" s="13" t="str">
        <x:v>Matches</x:v>
      </x:c>
    </x:row>
    <x:row r="7">
      <x:c r="A7" s="13" t="n">
        <x:v>2016</x:v>
      </x:c>
      <x:c r="B7" s="13" t="n">
        <x:v>28</x:v>
      </x:c>
      <x:c r="C7" s="13" t="str">
        <x:v>Corinthians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21</x:v>
      </x:c>
      <x:c r="H7" s="13" t="n">
        <x:v>1785</x:v>
      </x:c>
      <x:c r="I7" s="13" t="n">
        <x:v>85</x:v>
      </x:c>
      <x:c r="J7" s="13" t="n">
        <x:v>52.2</x:v>
      </x:c>
      <x:c r="K7" s="13" t="n">
        <x:v>19.8</x:v>
      </x:c>
      <x:c r="L7" s="13" t="n">
        <x:v>19</x:v>
      </x:c>
      <x:c r="M7" s="13" t="n">
        <x:v>88</x:v>
      </x:c>
      <x:c r="N7" s="13" t="n">
        <x:v>18</x:v>
      </x:c>
      <x:c r="O7" s="13" t="n">
        <x:v>2</x:v>
      </x:c>
      <x:c r="P7" s="13" t="n">
        <x:v>60</x:v>
      </x:c>
      <x:c r="Q7" s="13" t="n">
        <x:v>12</x:v>
      </x:c>
      <x:c r="R7" s="13" t="n">
        <x:v>1.38</x:v>
      </x:c>
      <x:c r="S7" s="13" t="n">
        <x:v>24</x:v>
      </x:c>
      <x:c r="T7" s="13" t="n">
        <x:v>26</x:v>
      </x:c>
      <x:c r="U7" s="13" t="n">
        <x:v>-2</x:v>
      </x:c>
      <x:c r="V7" s="13" t="n">
        <x:v>-0.1</x:v>
      </x:c>
      <x:c r="W7" s="13" t="n">
        <x:v>-0.54</x:v>
      </x:c>
      <x:c r="X7" s="13" t="str">
        <x:v>Matches</x:v>
      </x:c>
    </x:row>
    <x:row r="8">
      <x:c r="A8" s="13" t="n">
        <x:v>2017</x:v>
      </x:c>
      <x:c r="B8" s="13" t="n">
        <x:v>29</x:v>
      </x:c>
      <x:c r="C8" s="13" t="str">
        <x:v>Corinthians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35</x:v>
      </x:c>
      <x:c r="H8" s="13" t="n">
        <x:v>3150</x:v>
      </x:c>
      <x:c r="I8" s="13" t="n">
        <x:v>90</x:v>
      </x:c>
      <x:c r="J8" s="13" t="n">
        <x:v>92.1</x:v>
      </x:c>
      <x:c r="K8" s="13" t="n">
        <x:v>35</x:v>
      </x:c>
      <x:c r="L8" s="13" t="n">
        <x:v>35</x:v>
      </x:c>
      <x:c r="M8" s="13" t="n">
        <x:v>90</x:v>
      </x:c>
      <x:c r="N8" s="13" t="n">
        <x:v>35</x:v>
      </x:c>
      <x:c r="O8" s="13" t="n">
        <x:v>0</x:v>
      </x:c>
      <x:c r="P8" s="13"/>
      <x:c r="Q8" s="13" t="n">
        <x:v>1</x:v>
      </x:c>
      <x:c r="R8" s="13" t="n">
        <x:v>1.8</x:v>
      </x:c>
      <x:c r="S8" s="13" t="n">
        <x:v>45</x:v>
      </x:c>
      <x:c r="T8" s="13" t="n">
        <x:v>29</x:v>
      </x:c>
      <x:c r="U8" s="13" t="n">
        <x:v>16</x:v>
      </x:c>
      <x:c r="V8" s="13" t="n">
        <x:v>0.46</x:v>
      </x:c>
      <x:c r="W8" s="13" t="n">
        <x:v>-0.88</x:v>
      </x:c>
      <x:c r="X8" s="13" t="str">
        <x:v>Matches</x:v>
      </x:c>
    </x:row>
    <x:row r="9">
      <x:c r="A9" s="13" t="n">
        <x:v>2018</x:v>
      </x:c>
      <x:c r="B9" s="13" t="n">
        <x:v>30</x:v>
      </x:c>
      <x:c r="C9" s="13" t="str">
        <x:v>Corinthians</x:v>
      </x:c>
      <x:c r="D9" s="13" t="str">
        <x:v>br BRA</x:v>
      </x:c>
      <x:c r="E9" s="13" t="str">
        <x:v>1. Série A</x:v>
      </x:c>
      <x:c r="F9" s="13" t="str">
        <x:v>13th</x:v>
      </x:c>
      <x:c r="G9" s="13" t="n">
        <x:v>27</x:v>
      </x:c>
      <x:c r="H9" s="13" t="n">
        <x:v>2377</x:v>
      </x:c>
      <x:c r="I9" s="13" t="n">
        <x:v>88</x:v>
      </x:c>
      <x:c r="J9" s="13" t="n">
        <x:v>69.5</x:v>
      </x:c>
      <x:c r="K9" s="13" t="n">
        <x:v>26.4</x:v>
      </x:c>
      <x:c r="L9" s="13" t="n">
        <x:v>27</x:v>
      </x:c>
      <x:c r="M9" s="13" t="n">
        <x:v>88</x:v>
      </x:c>
      <x:c r="N9" s="13" t="n">
        <x:v>26</x:v>
      </x:c>
      <x:c r="O9" s="13" t="n">
        <x:v>0</x:v>
      </x:c>
      <x:c r="P9" s="13"/>
      <x:c r="Q9" s="13" t="n">
        <x:v>0</x:v>
      </x:c>
      <x:c r="R9" s="13" t="n">
        <x:v>1.37</x:v>
      </x:c>
      <x:c r="S9" s="13" t="n">
        <x:v>28</x:v>
      </x:c>
      <x:c r="T9" s="13" t="n">
        <x:v>24</x:v>
      </x:c>
      <x:c r="U9" s="13" t="n">
        <x:v>4</x:v>
      </x:c>
      <x:c r="V9" s="13" t="n">
        <x:v>0.15</x:v>
      </x:c>
      <x:c r="W9" s="13" t="n">
        <x:v>0.58</x:v>
      </x:c>
      <x:c r="X9" s="13" t="str">
        <x:v>Matches</x:v>
      </x:c>
    </x:row>
    <x:row r="10">
      <x:c r="A10" s="13" t="n">
        <x:v>2019</x:v>
      </x:c>
      <x:c r="B10" s="13" t="n">
        <x:v>31</x:v>
      </x:c>
      <x:c r="C10" s="13" t="str">
        <x:v>Corinthians</x:v>
      </x:c>
      <x:c r="D10" s="13" t="str">
        <x:v>br BRA</x:v>
      </x:c>
      <x:c r="E10" s="13" t="str">
        <x:v>1. Série A</x:v>
      </x:c>
      <x:c r="F10" s="13" t="str">
        <x:v>8th</x:v>
      </x:c>
      <x:c r="G10" s="13" t="n">
        <x:v>32</x:v>
      </x:c>
      <x:c r="H10" s="13" t="n">
        <x:v>2859</x:v>
      </x:c>
      <x:c r="I10" s="13" t="n">
        <x:v>89</x:v>
      </x:c>
      <x:c r="J10" s="13" t="n">
        <x:v>83.6</x:v>
      </x:c>
      <x:c r="K10" s="13" t="n">
        <x:v>31.8</x:v>
      </x:c>
      <x:c r="L10" s="13" t="n">
        <x:v>32</x:v>
      </x:c>
      <x:c r="M10" s="13" t="n">
        <x:v>89</x:v>
      </x:c>
      <x:c r="N10" s="13" t="n">
        <x:v>31</x:v>
      </x:c>
      <x:c r="O10" s="13" t="n">
        <x:v>0</x:v>
      </x:c>
      <x:c r="P10" s="13"/>
      <x:c r="Q10" s="13" t="n">
        <x:v>0</x:v>
      </x:c>
      <x:c r="R10" s="13" t="n">
        <x:v>1.5</x:v>
      </x:c>
      <x:c r="S10" s="13" t="n">
        <x:v>35</x:v>
      </x:c>
      <x:c r="T10" s="13" t="n">
        <x:v>28</x:v>
      </x:c>
      <x:c r="U10" s="13" t="n">
        <x:v>7</x:v>
      </x:c>
      <x:c r="V10" s="13" t="n">
        <x:v>0.22</x:v>
      </x:c>
      <x:c r="W10" s="13" t="n">
        <x:v>0.06</x:v>
      </x:c>
      <x:c r="X10" s="13" t="str">
        <x:v>Matches</x:v>
      </x:c>
    </x:row>
    <x:row r="11">
      <x:c r="A11" s="13" t="n">
        <x:v>2020</x:v>
      </x:c>
      <x:c r="B11" s="13" t="n">
        <x:v>32</x:v>
      </x:c>
      <x:c r="C11" s="13" t="str">
        <x:v>Corinthians</x:v>
      </x:c>
      <x:c r="D11" s="13" t="str">
        <x:v>br BRA</x:v>
      </x:c>
      <x:c r="E11" s="13" t="str">
        <x:v>1. Série A</x:v>
      </x:c>
      <x:c r="F11" s="13" t="str">
        <x:v>12th</x:v>
      </x:c>
      <x:c r="G11" s="13" t="n">
        <x:v>35</x:v>
      </x:c>
      <x:c r="H11" s="13" t="n">
        <x:v>3142</x:v>
      </x:c>
      <x:c r="I11" s="13" t="n">
        <x:v>90</x:v>
      </x:c>
      <x:c r="J11" s="13" t="n">
        <x:v>91.9</x:v>
      </x:c>
      <x:c r="K11" s="13" t="n">
        <x:v>34.9</x:v>
      </x:c>
      <x:c r="L11" s="13" t="n">
        <x:v>35</x:v>
      </x:c>
      <x:c r="M11" s="13" t="n">
        <x:v>90</x:v>
      </x:c>
      <x:c r="N11" s="13" t="n">
        <x:v>33</x:v>
      </x:c>
      <x:c r="O11" s="13" t="n">
        <x:v>0</x:v>
      </x:c>
      <x:c r="P11" s="13"/>
      <x:c r="Q11" s="13" t="n">
        <x:v>0</x:v>
      </x:c>
      <x:c r="R11" s="13" t="n">
        <x:v>1.2</x:v>
      </x:c>
      <x:c r="S11" s="13" t="n">
        <x:v>41</x:v>
      </x:c>
      <x:c r="T11" s="13" t="n">
        <x:v>44</x:v>
      </x:c>
      <x:c r="U11" s="13" t="n">
        <x:v>-3</x:v>
      </x:c>
      <x:c r="V11" s="13" t="n">
        <x:v>-0.09</x:v>
      </x:c>
      <x:c r="W11" s="13" t="n">
        <x:v>-1.06</x:v>
      </x:c>
      <x:c r="X11" s="13" t="str">
        <x:v>Matches</x:v>
      </x:c>
    </x:row>
    <x:row r="12">
      <x:c r="A12" s="13" t="n">
        <x:v>2021</x:v>
      </x:c>
      <x:c r="B12" s="13" t="n">
        <x:v>33</x:v>
      </x:c>
      <x:c r="C12" s="13" t="str">
        <x:v>Corinthians</x:v>
      </x:c>
      <x:c r="D12" s="13" t="str">
        <x:v>br BRA</x:v>
      </x:c>
      <x:c r="E12" s="13" t="str">
        <x:v>1. Série A</x:v>
      </x:c>
      <x:c r="F12" s="13" t="str">
        <x:v>5th</x:v>
      </x:c>
      <x:c r="G12" s="13" t="n">
        <x:v>37</x:v>
      </x:c>
      <x:c r="H12" s="13" t="n">
        <x:v>3330</x:v>
      </x:c>
      <x:c r="I12" s="13" t="n">
        <x:v>90</x:v>
      </x:c>
      <x:c r="J12" s="13" t="n">
        <x:v>97.4</x:v>
      </x:c>
      <x:c r="K12" s="13" t="n">
        <x:v>37</x:v>
      </x:c>
      <x:c r="L12" s="13" t="n">
        <x:v>37</x:v>
      </x:c>
      <x:c r="M12" s="13" t="n">
        <x:v>90</x:v>
      </x:c>
      <x:c r="N12" s="13" t="n">
        <x:v>37</x:v>
      </x:c>
      <x:c r="O12" s="13" t="n">
        <x:v>0</x:v>
      </x:c>
      <x:c r="P12" s="13"/>
      <x:c r="Q12" s="13" t="n">
        <x:v>0</x:v>
      </x:c>
      <x:c r="R12" s="13" t="n">
        <x:v>1.46</x:v>
      </x:c>
      <x:c r="S12" s="13" t="n">
        <x:v>39</x:v>
      </x:c>
      <x:c r="T12" s="13" t="n">
        <x:v>36</x:v>
      </x:c>
      <x:c r="U12" s="13" t="n">
        <x:v>3</x:v>
      </x:c>
      <x:c r="V12" s="13" t="n">
        <x:v>0.08</x:v>
      </x:c>
      <x:c r="W12" s="13" t="n">
        <x:v>-0.92</x:v>
      </x:c>
      <x:c r="X12" s="13" t="str">
        <x:v>Matches</x:v>
      </x:c>
    </x:row>
    <x:row r="13">
      <x:c r="A13" s="13" t="n">
        <x:v>2022</x:v>
      </x:c>
      <x:c r="B13" s="13" t="n">
        <x:v>34</x:v>
      </x:c>
      <x:c r="C13" s="13" t="str">
        <x:v>Corinthians</x:v>
      </x:c>
      <x:c r="D13" s="13" t="str">
        <x:v>br BRA</x:v>
      </x:c>
      <x:c r="E13" s="13" t="str">
        <x:v>1. Série A</x:v>
      </x:c>
      <x:c r="F13" s="13" t="str">
        <x:v>4th</x:v>
      </x:c>
      <x:c r="G13" s="13" t="n">
        <x:v>34</x:v>
      </x:c>
      <x:c r="H13" s="13" t="n">
        <x:v>3059</x:v>
      </x:c>
      <x:c r="I13" s="13" t="n">
        <x:v>90</x:v>
      </x:c>
      <x:c r="J13" s="13" t="n">
        <x:v>89.4</x:v>
      </x:c>
      <x:c r="K13" s="13" t="n">
        <x:v>34</x:v>
      </x:c>
      <x:c r="L13" s="13" t="n">
        <x:v>34</x:v>
      </x:c>
      <x:c r="M13" s="13" t="n">
        <x:v>90</x:v>
      </x:c>
      <x:c r="N13" s="13" t="n">
        <x:v>33</x:v>
      </x:c>
      <x:c r="O13" s="13" t="n">
        <x:v>0</x:v>
      </x:c>
      <x:c r="P13" s="13"/>
      <x:c r="Q13" s="13" t="n">
        <x:v>0</x:v>
      </x:c>
      <x:c r="R13" s="13" t="n">
        <x:v>1.74</x:v>
      </x:c>
      <x:c r="S13" s="13" t="n">
        <x:v>39</x:v>
      </x:c>
      <x:c r="T13" s="13" t="n">
        <x:v>28</x:v>
      </x:c>
      <x:c r="U13" s="13" t="n">
        <x:v>11</x:v>
      </x:c>
      <x:c r="V13" s="13" t="n">
        <x:v>0.32</x:v>
      </x:c>
      <x:c r="W13" s="13" t="n">
        <x:v>1.07</x:v>
      </x:c>
      <x:c r="X13" s="13" t="str">
        <x:v>Matches</x:v>
      </x:c>
    </x:row>
    <x:row r="14">
      <x:c r="A14" s="13" t="n">
        <x:v>2023</x:v>
      </x:c>
      <x:c r="B14" s="13" t="n">
        <x:v>35</x:v>
      </x:c>
      <x:c r="C14" s="13" t="str">
        <x:v>Corinthians</x:v>
      </x:c>
      <x:c r="D14" s="13" t="str">
        <x:v>br BRA</x:v>
      </x:c>
      <x:c r="E14" s="13" t="str">
        <x:v>1. Série A</x:v>
      </x:c>
      <x:c r="F14" s="13" t="str">
        <x:v>13th</x:v>
      </x:c>
      <x:c r="G14" s="13" t="n">
        <x:v>37</x:v>
      </x:c>
      <x:c r="H14" s="13" t="n">
        <x:v>3310</x:v>
      </x:c>
      <x:c r="I14" s="13" t="n">
        <x:v>89</x:v>
      </x:c>
      <x:c r="J14" s="13" t="n">
        <x:v>96.8</x:v>
      </x:c>
      <x:c r="K14" s="13" t="n">
        <x:v>36.8</x:v>
      </x:c>
      <x:c r="L14" s="13" t="n">
        <x:v>37</x:v>
      </x:c>
      <x:c r="M14" s="13" t="n">
        <x:v>89</x:v>
      </x:c>
      <x:c r="N14" s="13" t="n">
        <x:v>36</x:v>
      </x:c>
      <x:c r="O14" s="13" t="n">
        <x:v>0</x:v>
      </x:c>
      <x:c r="P14" s="13"/>
      <x:c r="Q14" s="13" t="n">
        <x:v>0</x:v>
      </x:c>
      <x:c r="R14" s="13" t="n">
        <x:v>1.27</x:v>
      </x:c>
      <x:c r="S14" s="13" t="n">
        <x:v>45</x:v>
      </x:c>
      <x:c r="T14" s="13" t="n">
        <x:v>48</x:v>
      </x:c>
      <x:c r="U14" s="13" t="n">
        <x:v>-3</x:v>
      </x:c>
      <x:c r="V14" s="13" t="n">
        <x:v>-0.08</x:v>
      </x:c>
      <x:c r="W14" s="13" t="n">
        <x:v>-1.72</x:v>
      </x:c>
      <x:c r="X14" s="13" t="str">
        <x:v>Matches</x:v>
      </x:c>
    </x:row>
    <x:row r="15">
      <x:c r="A15" s="13" t="n">
        <x:v>2024</x:v>
      </x:c>
      <x:c r="B15" s="13" t="n">
        <x:v>36</x:v>
      </x:c>
      <x:c r="C15" s="13" t="str">
        <x:v>Corinthians</x:v>
      </x:c>
      <x:c r="D15" s="13" t="str">
        <x:v>br BRA</x:v>
      </x:c>
      <x:c r="E15" s="13" t="str">
        <x:v>1. Série A</x:v>
      </x:c>
      <x:c r="F15" s="13" t="str">
        <x:v>7th</x:v>
      </x:c>
      <x:c r="G15" s="13" t="n">
        <x:v>3</x:v>
      </x:c>
      <x:c r="H15" s="13" t="n">
        <x:v>270</x:v>
      </x:c>
      <x:c r="I15" s="13" t="n">
        <x:v>90</x:v>
      </x:c>
      <x:c r="J15" s="13" t="n">
        <x:v>7.9</x:v>
      </x:c>
      <x:c r="K15" s="13" t="n">
        <x:v>3</x:v>
      </x:c>
      <x:c r="L15" s="13" t="n">
        <x:v>3</x:v>
      </x:c>
      <x:c r="M15" s="13" t="n">
        <x:v>90</x:v>
      </x:c>
      <x:c r="N15" s="13" t="n">
        <x:v>3</x:v>
      </x:c>
      <x:c r="O15" s="13" t="n">
        <x:v>0</x:v>
      </x:c>
      <x:c r="P15" s="13"/>
      <x:c r="Q15" s="13" t="n">
        <x:v>3</x:v>
      </x:c>
      <x:c r="R15" s="13" t="n">
        <x:v>0.33</x:v>
      </x:c>
      <x:c r="S15" s="13" t="n">
        <x:v>0</x:v>
      </x:c>
      <x:c r="T15" s="13" t="n">
        <x:v>3</x:v>
      </x:c>
      <x:c r="U15" s="13" t="n">
        <x:v>-3</x:v>
      </x:c>
      <x:c r="V15" s="13" t="n">
        <x:v>-1</x:v>
      </x:c>
      <x:c r="W15" s="13" t="n">
        <x:v>-1.34</x:v>
      </x:c>
      <x:c r="X15" s="13" t="str">
        <x:v>Matches</x:v>
      </x:c>
    </x:row>
    <x:row r="16">
      <x:c r="A16" s="13" t="n">
        <x:v>2024</x:v>
      </x:c>
      <x:c r="B16" s="13" t="n">
        <x:v>36</x:v>
      </x:c>
      <x:c r="C16" s="13" t="str">
        <x:v>Cruzeiro</x:v>
      </x:c>
      <x:c r="D16" s="13" t="str">
        <x:v>br BRA</x:v>
      </x:c>
      <x:c r="E16" s="13" t="str">
        <x:v>1. Série A</x:v>
      </x:c>
      <x:c r="F16" s="13" t="str">
        <x:v>9th</x:v>
      </x:c>
      <x:c r="G16" s="13" t="n">
        <x:v>21</x:v>
      </x:c>
      <x:c r="H16" s="13" t="n">
        <x:v>1890</x:v>
      </x:c>
      <x:c r="I16" s="13" t="n">
        <x:v>90</x:v>
      </x:c>
      <x:c r="J16" s="13" t="n">
        <x:v>55.3</x:v>
      </x:c>
      <x:c r="K16" s="13" t="n">
        <x:v>21</x:v>
      </x:c>
      <x:c r="L16" s="13" t="n">
        <x:v>21</x:v>
      </x:c>
      <x:c r="M16" s="13" t="n">
        <x:v>90</x:v>
      </x:c>
      <x:c r="N16" s="13" t="n">
        <x:v>21</x:v>
      </x:c>
      <x:c r="O16" s="13" t="n">
        <x:v>0</x:v>
      </x:c>
      <x:c r="P16" s="13"/>
      <x:c r="Q16" s="13" t="n">
        <x:v>0</x:v>
      </x:c>
      <x:c r="R16" s="13" t="n">
        <x:v>1.24</x:v>
      </x:c>
      <x:c r="S16" s="13" t="n">
        <x:v>21</x:v>
      </x:c>
      <x:c r="T16" s="13" t="n">
        <x:v>19</x:v>
      </x:c>
      <x:c r="U16" s="13" t="n">
        <x:v>2</x:v>
      </x:c>
      <x:c r="V16" s="13" t="n">
        <x:v>0.1</x:v>
      </x:c>
      <x:c r="W16" s="13" t="n">
        <x:v>0.1</x:v>
      </x:c>
      <x:c r="X16" s="13" t="str">
        <x:v>Matches</x:v>
      </x:c>
    </x:row>
    <x:row r="17">
      <x:c r="A17" s="13" t="n">
        <x:v>2025</x:v>
      </x:c>
      <x:c r="B17" s="13" t="n">
        <x:v>37</x:v>
      </x:c>
      <x:c r="C17" s="13" t="str">
        <x:v>Cruzeiro</x:v>
      </x:c>
      <x:c r="D17" s="13" t="str">
        <x:v>br BRA</x:v>
      </x:c>
      <x:c r="E17" s="13" t="str">
        <x:v>1. Série A</x:v>
      </x:c>
      <x:c r="F17" s="13" t="str">
        <x:v>3rd</x:v>
      </x:c>
      <x:c r="G17" s="13" t="n">
        <x:v>35</x:v>
      </x:c>
      <x:c r="H17" s="13" t="n">
        <x:v>3086</x:v>
      </x:c>
      <x:c r="I17" s="13" t="n">
        <x:v>88</x:v>
      </x:c>
      <x:c r="J17" s="13" t="n">
        <x:v>90.2</x:v>
      </x:c>
      <x:c r="K17" s="13" t="n">
        <x:v>34.3</x:v>
      </x:c>
      <x:c r="L17" s="13" t="n">
        <x:v>35</x:v>
      </x:c>
      <x:c r="M17" s="13" t="n">
        <x:v>88</x:v>
      </x:c>
      <x:c r="N17" s="13" t="n">
        <x:v>34</x:v>
      </x:c>
      <x:c r="O17" s="13" t="n">
        <x:v>0</x:v>
      </x:c>
      <x:c r="P17" s="13"/>
      <x:c r="Q17" s="13" t="n">
        <x:v>0</x:v>
      </x:c>
      <x:c r="R17" s="13" t="n">
        <x:v>1.83</x:v>
      </x:c>
      <x:c r="S17" s="13" t="n">
        <x:v>49</x:v>
      </x:c>
      <x:c r="T17" s="13" t="n">
        <x:v>27</x:v>
      </x:c>
      <x:c r="U17" s="13" t="n">
        <x:v>22</x:v>
      </x:c>
      <x:c r="V17" s="13" t="n">
        <x:v>0.64</x:v>
      </x:c>
      <x:c r="W17" s="13" t="n">
        <x:v>0.1</x:v>
      </x:c>
      <x:c r="X17" s="13" t="str">
        <x:v>Matches</x:v>
      </x:c>
    </x:row>
    <x:row r="18">
      <x:c r="A18" s="13" t="n">
        <x:v>2026</x:v>
      </x:c>
      <x:c r="B18" s="13" t="n">
        <x:v>38</x:v>
      </x:c>
      <x:c r="C18" s="13" t="str">
        <x:v>Cruzeiro</x:v>
      </x:c>
      <x:c r="D18" s="13" t="str">
        <x:v>br BRA</x:v>
      </x:c>
      <x:c r="E18" s="13" t="str">
        <x:v>1. Série A</x:v>
      </x:c>
      <x:c r="F18" s="13" t="str">
        <x:v>11th</x:v>
      </x:c>
      <x:c r="G18" s="13" t="n">
        <x:v>5</x:v>
      </x:c>
      <x:c r="H18" s="13" t="n">
        <x:v>421</x:v>
      </x:c>
      <x:c r="I18" s="13" t="n">
        <x:v>84</x:v>
      </x:c>
      <x:c r="J18" s="13" t="n">
        <x:v>26</x:v>
      </x:c>
      <x:c r="K18" s="13" t="n">
        <x:v>4.7</x:v>
      </x:c>
      <x:c r="L18" s="13" t="n">
        <x:v>5</x:v>
      </x:c>
      <x:c r="M18" s="13" t="n">
        <x:v>84</x:v>
      </x:c>
      <x:c r="N18" s="13" t="n">
        <x:v>4</x:v>
      </x:c>
      <x:c r="O18" s="13" t="n">
        <x:v>0</x:v>
      </x:c>
      <x:c r="P18" s="13"/>
      <x:c r="Q18" s="13" t="n">
        <x:v>0</x:v>
      </x:c>
      <x:c r="R18" s="13" t="n">
        <x:v>0.4</x:v>
      </x:c>
      <x:c r="S18" s="13" t="n">
        <x:v>4</x:v>
      </x:c>
      <x:c r="T18" s="13" t="n">
        <x:v>10</x:v>
      </x:c>
      <x:c r="U18" s="13" t="n">
        <x:v>-6</x:v>
      </x:c>
      <x:c r="V18" s="13" t="n">
        <x:v>-1.28</x:v>
      </x:c>
      <x:c r="W18" s="13" t="n">
        <x:v>-1.43</x:v>
      </x:c>
      <x:c r="X18" s="13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922517cc138e44e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12" t="str">
        <x:v>Country</x:v>
      </x:c>
      <x:c r="B1" s="12" t="str">
        <x:v>Comp</x:v>
      </x:c>
      <x:c r="C1" s="12" t="str">
        <x:v>LgRank</x:v>
      </x:c>
      <x:c r="D1" s="12" t="str">
        <x:v>MP</x:v>
      </x:c>
      <x:c r="E1" s="12" t="str">
        <x:v>Min</x:v>
      </x:c>
      <x:c r="F1" s="12" t="str">
        <x:v>Mn/MP</x:v>
      </x:c>
      <x:c r="G1" s="12" t="str">
        <x:v>Min%</x:v>
      </x:c>
      <x:c r="H1" s="12" t="str">
        <x:v>90s</x:v>
      </x:c>
      <x:c r="I1" s="12" t="str">
        <x:v>Starts</x:v>
      </x:c>
      <x:c r="J1" s="12" t="str">
        <x:v>Mn/Start</x:v>
      </x:c>
      <x:c r="K1" s="12" t="str">
        <x:v>Compl</x:v>
      </x:c>
      <x:c r="L1" s="12" t="str">
        <x:v>Subs</x:v>
      </x:c>
      <x:c r="M1" s="12" t="str">
        <x:v>Mn/Sub</x:v>
      </x:c>
      <x:c r="N1" s="12" t="str">
        <x:v>unSub</x:v>
      </x:c>
      <x:c r="O1" s="12" t="str">
        <x:v>PPM</x:v>
      </x:c>
      <x:c r="P1" s="12" t="str">
        <x:v>onG</x:v>
      </x:c>
      <x:c r="Q1" s="12" t="str">
        <x:v>onGA</x:v>
      </x:c>
      <x:c r="R1" s="12" t="str">
        <x:v>+/-</x:v>
      </x:c>
      <x:c r="S1" s="12" t="str">
        <x:v>+/-90</x:v>
      </x:c>
      <x:c r="T1" s="12" t="str">
        <x:v>On-Off</x:v>
      </x:c>
      <x:c r="U1" s="12" t="str">
        <x:v>Matches</x:v>
      </x:c>
      <x:c r="V1" s="12"/>
      <x:c r="W1" s="12"/>
      <x:c r="X1" s="12"/>
    </x:row>
    <x:row r="2">
      <x:c r="A2" s="13" t="str">
        <x:v>Corinthians (11 Seasons)</x:v>
      </x:c>
      <x:c r="B2" s="13"/>
      <x:c r="C2" s="13" t="str">
        <x:v>1 League</x:v>
      </x:c>
      <x:c r="D2" s="13"/>
      <x:c r="E2" s="13" t="n">
        <x:v>331</x:v>
      </x:c>
      <x:c r="F2" s="13" t="n">
        <x:v>29455</x:v>
      </x:c>
      <x:c r="G2" s="13" t="n">
        <x:v>89</x:v>
      </x:c>
      <x:c r="H2" s="13" t="n">
        <x:v>78.3</x:v>
      </x:c>
      <x:c r="I2" s="13" t="n">
        <x:v>327.3</x:v>
      </x:c>
      <x:c r="J2" s="13" t="n">
        <x:v>329</x:v>
      </x:c>
      <x:c r="K2" s="13" t="n">
        <x:v>89</x:v>
      </x:c>
      <x:c r="L2" s="13" t="n">
        <x:v>320</x:v>
      </x:c>
      <x:c r="M2" s="13" t="n">
        <x:v>2</x:v>
      </x:c>
      <x:c r="N2" s="13" t="n">
        <x:v>60</x:v>
      </x:c>
      <x:c r="O2" s="13" t="n">
        <x:v>16</x:v>
      </x:c>
      <x:c r="P2" s="13" t="n">
        <x:v>1.56</x:v>
      </x:c>
      <x:c r="Q2" s="13" t="n">
        <x:v>403</x:v>
      </x:c>
      <x:c r="R2" s="13" t="n">
        <x:v>323</x:v>
      </x:c>
      <x:c r="S2" s="13" t="n">
        <x:v>80</x:v>
      </x:c>
      <x:c r="T2" s="13" t="n">
        <x:v>0.24</x:v>
      </x:c>
      <x:c r="U2" s="13" t="n">
        <x:v>-0.1</x:v>
      </x:c>
      <x:c r="V2" s="13"/>
      <x:c r="W2" s="13"/>
      <x:c r="X2" s="13"/>
    </x:row>
    <x:row r="3">
      <x:c r="A3" s="13" t="str">
        <x:v>Cruzeiro (3 Seasons)</x:v>
      </x:c>
      <x:c r="B3" s="13"/>
      <x:c r="C3" s="13" t="str">
        <x:v>1 League</x:v>
      </x:c>
      <x:c r="D3" s="13"/>
      <x:c r="E3" s="13" t="n">
        <x:v>61</x:v>
      </x:c>
      <x:c r="F3" s="13" t="n">
        <x:v>5397</x:v>
      </x:c>
      <x:c r="G3" s="13" t="n">
        <x:v>88</x:v>
      </x:c>
      <x:c r="H3" s="13" t="n">
        <x:v>63.8</x:v>
      </x:c>
      <x:c r="I3" s="13" t="n">
        <x:v>60</x:v>
      </x:c>
      <x:c r="J3" s="13" t="n">
        <x:v>61</x:v>
      </x:c>
      <x:c r="K3" s="13" t="n">
        <x:v>88</x:v>
      </x:c>
      <x:c r="L3" s="13" t="n">
        <x:v>59</x:v>
      </x:c>
      <x:c r="M3" s="13" t="n">
        <x:v>0</x:v>
      </x:c>
      <x:c r="N3" s="13"/>
      <x:c r="O3" s="13" t="n">
        <x:v>0</x:v>
      </x:c>
      <x:c r="P3" s="13" t="n">
        <x:v>1.51</x:v>
      </x:c>
      <x:c r="Q3" s="13" t="n">
        <x:v>74</x:v>
      </x:c>
      <x:c r="R3" s="13" t="n">
        <x:v>56</x:v>
      </x:c>
      <x:c r="S3" s="13" t="n">
        <x:v>18</x:v>
      </x:c>
      <x:c r="T3" s="13" t="n">
        <x:v>0.3</x:v>
      </x:c>
      <x:c r="U3" s="13" t="n">
        <x:v>0.18</x:v>
      </x:c>
      <x:c r="V3" s="13"/>
      <x:c r="W3" s="13"/>
      <x:c r="X3" s="13"/>
    </x:row>
    <x:row r="4">
      <x:c r="A4" s="13" t="str">
        <x:v>PSV (2 Seasons)</x:v>
      </x:c>
      <x:c r="B4" s="13"/>
      <x:c r="C4" s="13" t="str">
        <x:v>1 League</x:v>
      </x:c>
      <x:c r="D4" s="13"/>
      <x:c r="E4" s="13" t="n">
        <x:v>3</x:v>
      </x:c>
      <x:c r="F4" s="13" t="n">
        <x:v>221</x:v>
      </x:c>
      <x:c r="G4" s="13" t="n">
        <x:v>74</x:v>
      </x:c>
      <x:c r="H4" s="13" t="n">
        <x:v>3.6</x:v>
      </x:c>
      <x:c r="I4" s="13" t="n">
        <x:v>2.5</x:v>
      </x:c>
      <x:c r="J4" s="13" t="n">
        <x:v>1</x:v>
      </x:c>
      <x:c r="K4" s="13"/>
      <x:c r="L4" s="13" t="n">
        <x:v>1</x:v>
      </x:c>
      <x:c r="M4" s="13" t="n">
        <x:v>2</x:v>
      </x:c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</x:row>
    <x:row r="5">
      <x:c r="A5" s="13" t="str">
        <x:v>Sparta Rotterdam (1 Season)</x:v>
      </x:c>
      <x:c r="B5" s="13"/>
      <x:c r="C5" s="13" t="str">
        <x:v>1 League</x:v>
      </x:c>
      <x:c r="D5" s="13"/>
      <x:c r="E5" s="13" t="n">
        <x:v>14</x:v>
      </x:c>
      <x:c r="F5" s="13" t="n">
        <x:v>1260</x:v>
      </x:c>
      <x:c r="G5" s="13" t="n">
        <x:v>90</x:v>
      </x:c>
      <x:c r="H5" s="13" t="n">
        <x:v>41.2</x:v>
      </x:c>
      <x:c r="I5" s="13" t="n">
        <x:v>14</x:v>
      </x:c>
      <x:c r="J5" s="13" t="n">
        <x:v>14</x:v>
      </x:c>
      <x:c r="K5" s="13"/>
      <x:c r="L5" s="13" t="n">
        <x:v>14</x:v>
      </x:c>
      <x:c r="M5" s="13" t="n">
        <x:v>0</x:v>
      </x:c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</x:row>
    <x:row r="6">
      <x:c r="A6" s="13" t="str">
        <x:v>Série A (13 Seasons)</x:v>
      </x:c>
      <x:c r="B6" s="13"/>
      <x:c r="C6" s="13"/>
      <x:c r="D6" s="13"/>
      <x:c r="E6" s="13" t="n">
        <x:v>392</x:v>
      </x:c>
      <x:c r="F6" s="13" t="n">
        <x:v>34852</x:v>
      </x:c>
      <x:c r="G6" s="13" t="n">
        <x:v>89</x:v>
      </x:c>
      <x:c r="H6" s="13" t="n">
        <x:v>75.6</x:v>
      </x:c>
      <x:c r="I6" s="13" t="n">
        <x:v>387.2</x:v>
      </x:c>
      <x:c r="J6" s="13" t="n">
        <x:v>390</x:v>
      </x:c>
      <x:c r="K6" s="13" t="n">
        <x:v>89</x:v>
      </x:c>
      <x:c r="L6" s="13" t="n">
        <x:v>379</x:v>
      </x:c>
      <x:c r="M6" s="13" t="n">
        <x:v>2</x:v>
      </x:c>
      <x:c r="N6" s="13" t="n">
        <x:v>60</x:v>
      </x:c>
      <x:c r="O6" s="13" t="n">
        <x:v>16</x:v>
      </x:c>
      <x:c r="P6" s="13" t="n">
        <x:v>1.55</x:v>
      </x:c>
      <x:c r="Q6" s="13" t="n">
        <x:v>477</x:v>
      </x:c>
      <x:c r="R6" s="13" t="n">
        <x:v>379</x:v>
      </x:c>
      <x:c r="S6" s="13" t="n">
        <x:v>98</x:v>
      </x:c>
      <x:c r="T6" s="13" t="n">
        <x:v>0.25</x:v>
      </x:c>
      <x:c r="U6" s="13" t="n">
        <x:v>-0.03</x:v>
      </x:c>
      <x:c r="V6" s="13"/>
      <x:c r="W6" s="13"/>
      <x:c r="X6" s="13"/>
    </x:row>
    <x:row r="7">
      <x:c r="A7" s="13" t="str">
        <x:v>Eredivisie (2 Seasons)</x:v>
      </x:c>
      <x:c r="B7" s="13"/>
      <x:c r="C7" s="13"/>
      <x:c r="D7" s="13"/>
      <x:c r="E7" s="13" t="n">
        <x:v>17</x:v>
      </x:c>
      <x:c r="F7" s="13" t="n">
        <x:v>1481</x:v>
      </x:c>
      <x:c r="G7" s="13" t="n">
        <x:v>87</x:v>
      </x:c>
      <x:c r="H7" s="13" t="n">
        <x:v>16.1</x:v>
      </x:c>
      <x:c r="I7" s="13" t="n">
        <x:v>16.5</x:v>
      </x:c>
      <x:c r="J7" s="13" t="n">
        <x:v>15</x:v>
      </x:c>
      <x:c r="K7" s="13"/>
      <x:c r="L7" s="13" t="n">
        <x:v>15</x:v>
      </x:c>
      <x:c r="M7" s="13" t="n">
        <x:v>2</x:v>
      </x:c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</x:row>
    <x:row r="8">
      <x:c r="A8" s="13" t="str">
        <x:v>15 Seasons</x:v>
      </x:c>
      <x:c r="B8" s="13" t="str">
        <x:v>4 Clubs</x:v>
      </x:c>
      <x:c r="C8" s="13"/>
      <x:c r="D8" s="13" t="str">
        <x:v>2 Leagues</x:v>
      </x:c>
      <x:c r="E8" s="13"/>
      <x:c r="F8" s="13" t="n">
        <x:v>409</x:v>
      </x:c>
      <x:c r="G8" s="13" t="n">
        <x:v>36333</x:v>
      </x:c>
      <x:c r="H8" s="13" t="n">
        <x:v>89</x:v>
      </x:c>
      <x:c r="I8" s="13" t="n">
        <x:v>65.7</x:v>
      </x:c>
      <x:c r="J8" s="13" t="n">
        <x:v>403.7</x:v>
      </x:c>
      <x:c r="K8" s="13" t="n">
        <x:v>405</x:v>
      </x:c>
      <x:c r="L8" s="13" t="n">
        <x:v>89</x:v>
      </x:c>
      <x:c r="M8" s="13" t="n">
        <x:v>394</x:v>
      </x:c>
      <x:c r="N8" s="13" t="n">
        <x:v>4</x:v>
      </x:c>
      <x:c r="O8" s="13" t="n">
        <x:v>60</x:v>
      </x:c>
      <x:c r="P8" s="13" t="n">
        <x:v>16</x:v>
      </x:c>
      <x:c r="Q8" s="13" t="n">
        <x:v>1.55</x:v>
      </x:c>
      <x:c r="R8" s="13" t="n">
        <x:v>477</x:v>
      </x:c>
      <x:c r="S8" s="13" t="n">
        <x:v>379</x:v>
      </x:c>
      <x:c r="T8" s="13" t="n">
        <x:v>98</x:v>
      </x:c>
      <x:c r="U8" s="13" t="n">
        <x:v>0.25</x:v>
      </x:c>
      <x:c r="V8" s="13" t="n">
        <x:v>-0.03</x:v>
      </x:c>
      <x:c r="W8" s="13"/>
      <x:c r="X8" s="13"/>
    </x:row>
  </x:sheetData>
  <x:pageMargins left="0.7" right="0.7" top="0.75" bottom="0.75" header="0.3" footer="0.3"/>
  <x:tableParts count="1">
    <x:tablePart xmlns:r="http://schemas.openxmlformats.org/officeDocument/2006/relationships" r:id="R99e79fbb11af46c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LgRank</x:v>
      </x:c>
      <x:c r="G1" s="12" t="str">
        <x:v>90s</x:v>
      </x:c>
      <x:c r="H1" s="12" t="str">
        <x:v>CrdY</x:v>
      </x:c>
      <x:c r="I1" s="12" t="str">
        <x:v>CrdR</x:v>
      </x:c>
      <x:c r="J1" s="12" t="str">
        <x:v>2CrdY</x:v>
      </x:c>
      <x:c r="K1" s="12" t="str">
        <x:v>Fls</x:v>
      </x:c>
      <x:c r="L1" s="12" t="str">
        <x:v>Fld</x:v>
      </x:c>
      <x:c r="M1" s="12" t="str">
        <x:v>Off</x:v>
      </x:c>
      <x:c r="N1" s="12" t="str">
        <x:v>Crs</x:v>
      </x:c>
      <x:c r="O1" s="12" t="str">
        <x:v>Int</x:v>
      </x:c>
      <x:c r="P1" s="12" t="str">
        <x:v>TklW</x:v>
      </x:c>
      <x:c r="Q1" s="12" t="str">
        <x:v>PKwon</x:v>
      </x:c>
      <x:c r="R1" s="12" t="str">
        <x:v>PKcon</x:v>
      </x:c>
      <x:c r="S1" s="12" t="str">
        <x:v>OG</x:v>
      </x:c>
      <x:c r="T1" s="12" t="str">
        <x:v>Matches</x:v>
      </x:c>
    </x:row>
    <x:row r="2">
      <x:c r="A2" s="13" t="str">
        <x:v>2008-2009</x:v>
      </x:c>
      <x:c r="B2" s="13" t="n">
        <x:v>21</x:v>
      </x:c>
      <x:c r="C2" s="13" t="str">
        <x:v>Sparta Rotterdam</x:v>
      </x:c>
      <x:c r="D2" s="13" t="str">
        <x:v>nl NED</x:v>
      </x:c>
      <x:c r="E2" s="13" t="str">
        <x:v>1. Eredivisie</x:v>
      </x:c>
      <x:c r="F2" s="13" t="str">
        <x:v>13th</x:v>
      </x:c>
      <x:c r="G2" s="13" t="n">
        <x:v>14</x:v>
      </x:c>
      <x:c r="H2" s="13" t="n">
        <x:v>0</x:v>
      </x:c>
      <x:c r="I2" s="13" t="n">
        <x:v>0</x:v>
      </x:c>
      <x:c r="J2" s="13"/>
      <x:c r="K2" s="13" t="n">
        <x:v>0</x:v>
      </x:c>
      <x:c r="L2" s="13"/>
      <x:c r="M2" s="13"/>
      <x:c r="N2" s="13"/>
      <x:c r="O2" s="13"/>
      <x:c r="P2" s="13"/>
      <x:c r="Q2" s="13"/>
      <x:c r="R2" s="13"/>
      <x:c r="S2" s="13"/>
      <x:c r="T2" s="13" t="str">
        <x:v>Matches</x:v>
      </x:c>
    </x:row>
    <x:row r="3">
      <x:c r="A3" s="13" t="str">
        <x:v>2008-2009</x:v>
      </x:c>
      <x:c r="B3" s="13" t="n">
        <x:v>21</x:v>
      </x:c>
      <x:c r="C3" s="13" t="str">
        <x:v>PSV</x:v>
      </x:c>
      <x:c r="D3" s="13" t="str">
        <x:v>nl NED</x:v>
      </x:c>
      <x:c r="E3" s="13" t="str">
        <x:v>1. Eredivisie</x:v>
      </x:c>
      <x:c r="F3" s="13" t="str">
        <x:v>4th</x:v>
      </x:c>
      <x:c r="G3" s="13" t="n">
        <x:v>1</x:v>
      </x:c>
      <x:c r="H3" s="13" t="n">
        <x:v>0</x:v>
      </x:c>
      <x:c r="I3" s="13" t="n">
        <x:v>0</x:v>
      </x:c>
      <x:c r="J3" s="13"/>
      <x:c r="K3" s="13" t="n">
        <x:v>0</x:v>
      </x:c>
      <x:c r="L3" s="13"/>
      <x:c r="M3" s="13"/>
      <x:c r="N3" s="13"/>
      <x:c r="O3" s="13"/>
      <x:c r="P3" s="13"/>
      <x:c r="Q3" s="13"/>
      <x:c r="R3" s="13"/>
      <x:c r="S3" s="13"/>
      <x:c r="T3" s="13" t="str">
        <x:v>Matches</x:v>
      </x:c>
    </x:row>
    <x:row r="4">
      <x:c r="A4" s="13" t="str">
        <x:v>2010-2011</x:v>
      </x:c>
      <x:c r="B4" s="13" t="n">
        <x:v>23</x:v>
      </x:c>
      <x:c r="C4" s="13" t="str">
        <x:v>PSV</x:v>
      </x:c>
      <x:c r="D4" s="13" t="str">
        <x:v>nl NED</x:v>
      </x:c>
      <x:c r="E4" s="13" t="str">
        <x:v>1. Eredivisie</x:v>
      </x:c>
      <x:c r="F4" s="13" t="str">
        <x:v>3rd</x:v>
      </x:c>
      <x:c r="G4" s="13" t="n">
        <x:v>1.5</x:v>
      </x:c>
      <x:c r="H4" s="13" t="n">
        <x:v>0</x:v>
      </x:c>
      <x:c r="I4" s="13" t="n">
        <x:v>0</x:v>
      </x:c>
      <x:c r="J4" s="13"/>
      <x:c r="K4" s="13" t="n">
        <x:v>0</x:v>
      </x:c>
      <x:c r="L4" s="13"/>
      <x:c r="M4" s="13"/>
      <x:c r="N4" s="13"/>
      <x:c r="O4" s="13"/>
      <x:c r="P4" s="13"/>
      <x:c r="Q4" s="13"/>
      <x:c r="R4" s="13"/>
      <x:c r="S4" s="13"/>
      <x:c r="T4" s="13" t="str">
        <x:v>Matches</x:v>
      </x:c>
    </x:row>
    <x:row r="5">
      <x:c r="A5" s="13" t="n">
        <x:v>2014</x:v>
      </x:c>
      <x:c r="B5" s="13" t="n">
        <x:v>26</x:v>
      </x:c>
      <x:c r="C5" s="13" t="str">
        <x:v>Corinthians</x:v>
      </x:c>
      <x:c r="D5" s="13" t="str">
        <x:v>br BRA</x:v>
      </x:c>
      <x:c r="E5" s="13" t="str">
        <x:v>1. Série A</x:v>
      </x:c>
      <x:c r="F5" s="13" t="str">
        <x:v>4th</x:v>
      </x:c>
      <x:c r="G5" s="13" t="n">
        <x:v>34.1</x:v>
      </x:c>
      <x:c r="H5" s="13" t="n">
        <x:v>4</x:v>
      </x:c>
      <x:c r="I5" s="13" t="n">
        <x:v>0</x:v>
      </x:c>
      <x:c r="J5" s="13" t="n">
        <x:v>0</x:v>
      </x:c>
      <x:c r="K5" s="13"/>
      <x:c r="L5" s="13"/>
      <x:c r="M5" s="13"/>
      <x:c r="N5" s="13"/>
      <x:c r="O5" s="13"/>
      <x:c r="P5" s="13"/>
      <x:c r="Q5" s="13"/>
      <x:c r="R5" s="13"/>
      <x:c r="S5" s="13" t="n">
        <x:v>0</x:v>
      </x:c>
      <x:c r="T5" s="13" t="str">
        <x:v>Matches</x:v>
      </x:c>
    </x:row>
    <x:row r="6">
      <x:c r="A6" s="13" t="n">
        <x:v>2015</x:v>
      </x:c>
      <x:c r="B6" s="13" t="n">
        <x:v>27</x:v>
      </x:c>
      <x:c r="C6" s="13" t="str">
        <x:v>Corinthians</x:v>
      </x:c>
      <x:c r="D6" s="13" t="str">
        <x:v>br BRA</x:v>
      </x:c>
      <x:c r="E6" s="13" t="str">
        <x:v>1. Série A</x:v>
      </x:c>
      <x:c r="F6" s="13" t="str">
        <x:v>1st</x:v>
      </x:c>
      <x:c r="G6" s="13" t="n">
        <x:v>34.5</x:v>
      </x:c>
      <x:c r="H6" s="13" t="n">
        <x:v>2</x:v>
      </x:c>
      <x:c r="I6" s="13" t="n">
        <x:v>0</x:v>
      </x:c>
      <x:c r="J6" s="13" t="n">
        <x:v>0</x:v>
      </x:c>
      <x:c r="K6" s="13"/>
      <x:c r="L6" s="13"/>
      <x:c r="M6" s="13"/>
      <x:c r="N6" s="13"/>
      <x:c r="O6" s="13"/>
      <x:c r="P6" s="13"/>
      <x:c r="Q6" s="13"/>
      <x:c r="R6" s="13"/>
      <x:c r="S6" s="13" t="n">
        <x:v>0</x:v>
      </x:c>
      <x:c r="T6" s="13" t="str">
        <x:v>Matches</x:v>
      </x:c>
    </x:row>
    <x:row r="7">
      <x:c r="A7" s="13" t="n">
        <x:v>2016</x:v>
      </x:c>
      <x:c r="B7" s="13" t="n">
        <x:v>28</x:v>
      </x:c>
      <x:c r="C7" s="13" t="str">
        <x:v>Corinthians</x:v>
      </x:c>
      <x:c r="D7" s="13" t="str">
        <x:v>br BRA</x:v>
      </x:c>
      <x:c r="E7" s="13" t="str">
        <x:v>1. Série A</x:v>
      </x:c>
      <x:c r="F7" s="13" t="str">
        <x:v>7th</x:v>
      </x:c>
      <x:c r="G7" s="13" t="n">
        <x:v>19.8</x:v>
      </x:c>
      <x:c r="H7" s="13" t="n">
        <x:v>1</x:v>
      </x:c>
      <x:c r="I7" s="13" t="n">
        <x:v>0</x:v>
      </x:c>
      <x:c r="J7" s="13" t="n">
        <x:v>0</x:v>
      </x:c>
      <x:c r="K7" s="13" t="n">
        <x:v>1</x:v>
      </x:c>
      <x:c r="L7" s="13" t="n">
        <x:v>2</x:v>
      </x:c>
      <x:c r="M7" s="13" t="n">
        <x:v>0</x:v>
      </x:c>
      <x:c r="N7" s="13" t="n">
        <x:v>0</x:v>
      </x:c>
      <x:c r="O7" s="13" t="n">
        <x:v>3</x:v>
      </x:c>
      <x:c r="P7" s="13" t="n">
        <x:v>3</x:v>
      </x:c>
      <x:c r="Q7" s="13" t="n">
        <x:v>0</x:v>
      </x:c>
      <x:c r="R7" s="13" t="n">
        <x:v>0</x:v>
      </x:c>
      <x:c r="S7" s="13" t="n">
        <x:v>0</x:v>
      </x:c>
      <x:c r="T7" s="13" t="str">
        <x:v>Matches</x:v>
      </x:c>
    </x:row>
    <x:row r="8">
      <x:c r="A8" s="13" t="n">
        <x:v>2017</x:v>
      </x:c>
      <x:c r="B8" s="13" t="n">
        <x:v>29</x:v>
      </x:c>
      <x:c r="C8" s="13" t="str">
        <x:v>Corinthians</x:v>
      </x:c>
      <x:c r="D8" s="13" t="str">
        <x:v>br BRA</x:v>
      </x:c>
      <x:c r="E8" s="13" t="str">
        <x:v>1. Série A</x:v>
      </x:c>
      <x:c r="F8" s="13" t="str">
        <x:v>1st</x:v>
      </x:c>
      <x:c r="G8" s="13" t="n">
        <x:v>35</x:v>
      </x:c>
      <x:c r="H8" s="13" t="n">
        <x:v>3</x:v>
      </x:c>
      <x:c r="I8" s="13" t="n">
        <x:v>0</x:v>
      </x:c>
      <x:c r="J8" s="13" t="n">
        <x:v>0</x:v>
      </x:c>
      <x:c r="K8" s="13" t="n">
        <x:v>0</x:v>
      </x:c>
      <x:c r="L8" s="13" t="n">
        <x:v>11</x:v>
      </x:c>
      <x:c r="M8" s="13" t="n">
        <x:v>0</x:v>
      </x:c>
      <x:c r="N8" s="13" t="n">
        <x:v>0</x:v>
      </x:c>
      <x:c r="O8" s="13" t="n">
        <x:v>6</x:v>
      </x:c>
      <x:c r="P8" s="13" t="n">
        <x:v>2</x:v>
      </x:c>
      <x:c r="Q8" s="13" t="n">
        <x:v>0</x:v>
      </x:c>
      <x:c r="R8" s="13" t="n">
        <x:v>0</x:v>
      </x:c>
      <x:c r="S8" s="13" t="n">
        <x:v>0</x:v>
      </x:c>
      <x:c r="T8" s="13" t="str">
        <x:v>Matches</x:v>
      </x:c>
    </x:row>
    <x:row r="9">
      <x:c r="A9" s="13" t="n">
        <x:v>2018</x:v>
      </x:c>
      <x:c r="B9" s="13" t="n">
        <x:v>30</x:v>
      </x:c>
      <x:c r="C9" s="13" t="str">
        <x:v>Corinthians</x:v>
      </x:c>
      <x:c r="D9" s="13" t="str">
        <x:v>br BRA</x:v>
      </x:c>
      <x:c r="E9" s="13" t="str">
        <x:v>1. Série A</x:v>
      </x:c>
      <x:c r="F9" s="13" t="str">
        <x:v>13th</x:v>
      </x:c>
      <x:c r="G9" s="13" t="n">
        <x:v>26.4</x:v>
      </x:c>
      <x:c r="H9" s="13" t="n">
        <x:v>3</x:v>
      </x:c>
      <x:c r="I9" s="13" t="n">
        <x:v>0</x:v>
      </x:c>
      <x:c r="J9" s="13" t="n">
        <x:v>0</x:v>
      </x:c>
      <x:c r="K9" s="13" t="n">
        <x:v>1</x:v>
      </x:c>
      <x:c r="L9" s="13" t="n">
        <x:v>3</x:v>
      </x:c>
      <x:c r="M9" s="13" t="n">
        <x:v>0</x:v>
      </x:c>
      <x:c r="N9" s="13" t="n">
        <x:v>0</x:v>
      </x:c>
      <x:c r="O9" s="13" t="n">
        <x:v>1</x:v>
      </x:c>
      <x:c r="P9" s="13" t="n">
        <x:v>1</x:v>
      </x:c>
      <x:c r="Q9" s="13" t="n">
        <x:v>0</x:v>
      </x:c>
      <x:c r="R9" s="13" t="n">
        <x:v>0</x:v>
      </x:c>
      <x:c r="S9" s="13" t="n">
        <x:v>0</x:v>
      </x:c>
      <x:c r="T9" s="13" t="str">
        <x:v>Matches</x:v>
      </x:c>
    </x:row>
    <x:row r="10">
      <x:c r="A10" s="13" t="n">
        <x:v>2019</x:v>
      </x:c>
      <x:c r="B10" s="13" t="n">
        <x:v>31</x:v>
      </x:c>
      <x:c r="C10" s="13" t="str">
        <x:v>Corinthians</x:v>
      </x:c>
      <x:c r="D10" s="13" t="str">
        <x:v>br BRA</x:v>
      </x:c>
      <x:c r="E10" s="13" t="str">
        <x:v>1. Série A</x:v>
      </x:c>
      <x:c r="F10" s="13" t="str">
        <x:v>8th</x:v>
      </x:c>
      <x:c r="G10" s="13" t="n">
        <x:v>31.8</x:v>
      </x:c>
      <x:c r="H10" s="13" t="n">
        <x:v>6</x:v>
      </x:c>
      <x:c r="I10" s="13" t="n">
        <x:v>0</x:v>
      </x:c>
      <x:c r="J10" s="13" t="n">
        <x:v>0</x:v>
      </x:c>
      <x:c r="K10" s="13" t="n">
        <x:v>1</x:v>
      </x:c>
      <x:c r="L10" s="13" t="n">
        <x:v>10</x:v>
      </x:c>
      <x:c r="M10" s="13" t="n">
        <x:v>0</x:v>
      </x:c>
      <x:c r="N10" s="13" t="n">
        <x:v>0</x:v>
      </x:c>
      <x:c r="O10" s="13" t="n">
        <x:v>1</x:v>
      </x:c>
      <x:c r="P10" s="13" t="n">
        <x:v>0</x:v>
      </x:c>
      <x:c r="Q10" s="13"/>
      <x:c r="R10" s="13"/>
      <x:c r="S10" s="13" t="n">
        <x:v>0</x:v>
      </x:c>
      <x:c r="T10" s="13" t="str">
        <x:v>Matches</x:v>
      </x:c>
    </x:row>
    <x:row r="11">
      <x:c r="A11" s="13" t="n">
        <x:v>2020</x:v>
      </x:c>
      <x:c r="B11" s="13" t="n">
        <x:v>32</x:v>
      </x:c>
      <x:c r="C11" s="13" t="str">
        <x:v>Corinthians</x:v>
      </x:c>
      <x:c r="D11" s="13" t="str">
        <x:v>br BRA</x:v>
      </x:c>
      <x:c r="E11" s="13" t="str">
        <x:v>1. Série A</x:v>
      </x:c>
      <x:c r="F11" s="13" t="str">
        <x:v>12th</x:v>
      </x:c>
      <x:c r="G11" s="13" t="n">
        <x:v>34.9</x:v>
      </x:c>
      <x:c r="H11" s="13" t="n">
        <x:v>2</x:v>
      </x:c>
      <x:c r="I11" s="13" t="n">
        <x:v>1</x:v>
      </x:c>
      <x:c r="J11" s="13" t="n">
        <x:v>0</x:v>
      </x:c>
      <x:c r="K11" s="13" t="n">
        <x:v>1</x:v>
      </x:c>
      <x:c r="L11" s="13" t="n">
        <x:v>7</x:v>
      </x:c>
      <x:c r="M11" s="13" t="n">
        <x:v>0</x:v>
      </x:c>
      <x:c r="N11" s="13" t="n">
        <x:v>2</x:v>
      </x:c>
      <x:c r="O11" s="13" t="n">
        <x:v>1</x:v>
      </x:c>
      <x:c r="P11" s="13" t="n">
        <x:v>1</x:v>
      </x:c>
      <x:c r="Q11" s="13"/>
      <x:c r="R11" s="13"/>
      <x:c r="S11" s="13" t="n">
        <x:v>0</x:v>
      </x:c>
      <x:c r="T11" s="13" t="str">
        <x:v>Matches</x:v>
      </x:c>
    </x:row>
    <x:row r="12">
      <x:c r="A12" s="13" t="n">
        <x:v>2021</x:v>
      </x:c>
      <x:c r="B12" s="13" t="n">
        <x:v>33</x:v>
      </x:c>
      <x:c r="C12" s="13" t="str">
        <x:v>Corinthians</x:v>
      </x:c>
      <x:c r="D12" s="13" t="str">
        <x:v>br BRA</x:v>
      </x:c>
      <x:c r="E12" s="13" t="str">
        <x:v>1. Série A</x:v>
      </x:c>
      <x:c r="F12" s="13" t="str">
        <x:v>5th</x:v>
      </x:c>
      <x:c r="G12" s="13" t="n">
        <x:v>37</x:v>
      </x:c>
      <x:c r="H12" s="13" t="n">
        <x:v>4</x:v>
      </x:c>
      <x:c r="I12" s="13" t="n">
        <x:v>0</x:v>
      </x:c>
      <x:c r="J12" s="13" t="n">
        <x:v>0</x:v>
      </x:c>
      <x:c r="K12" s="13" t="n">
        <x:v>1</x:v>
      </x:c>
      <x:c r="L12" s="13" t="n">
        <x:v>2</x:v>
      </x:c>
      <x:c r="M12" s="13" t="n">
        <x:v>0</x:v>
      </x:c>
      <x:c r="N12" s="13" t="n">
        <x:v>0</x:v>
      </x:c>
      <x:c r="O12" s="13" t="n">
        <x:v>0</x:v>
      </x:c>
      <x:c r="P12" s="13" t="n">
        <x:v>1</x:v>
      </x:c>
      <x:c r="Q12" s="13"/>
      <x:c r="R12" s="13"/>
      <x:c r="S12" s="13" t="n">
        <x:v>0</x:v>
      </x:c>
      <x:c r="T12" s="13" t="str">
        <x:v>Matches</x:v>
      </x:c>
    </x:row>
    <x:row r="13">
      <x:c r="A13" s="13" t="n">
        <x:v>2022</x:v>
      </x:c>
      <x:c r="B13" s="13" t="n">
        <x:v>34</x:v>
      </x:c>
      <x:c r="C13" s="13" t="str">
        <x:v>Corinthians</x:v>
      </x:c>
      <x:c r="D13" s="13" t="str">
        <x:v>br BRA</x:v>
      </x:c>
      <x:c r="E13" s="13" t="str">
        <x:v>1. Série A</x:v>
      </x:c>
      <x:c r="F13" s="13" t="str">
        <x:v>4th</x:v>
      </x:c>
      <x:c r="G13" s="13" t="n">
        <x:v>34</x:v>
      </x:c>
      <x:c r="H13" s="13" t="n">
        <x:v>3</x:v>
      </x:c>
      <x:c r="I13" s="13" t="n">
        <x:v>0</x:v>
      </x:c>
      <x:c r="J13" s="13" t="n">
        <x:v>0</x:v>
      </x:c>
      <x:c r="K13" s="13" t="n">
        <x:v>0</x:v>
      </x:c>
      <x:c r="L13" s="13" t="n">
        <x:v>7</x:v>
      </x:c>
      <x:c r="M13" s="13" t="n">
        <x:v>0</x:v>
      </x:c>
      <x:c r="N13" s="13" t="n">
        <x:v>0</x:v>
      </x:c>
      <x:c r="O13" s="13" t="n">
        <x:v>1</x:v>
      </x:c>
      <x:c r="P13" s="13" t="n">
        <x:v>0</x:v>
      </x:c>
      <x:c r="Q13" s="13"/>
      <x:c r="R13" s="13"/>
      <x:c r="S13" s="13" t="n">
        <x:v>0</x:v>
      </x:c>
      <x:c r="T13" s="13" t="str">
        <x:v>Matches</x:v>
      </x:c>
    </x:row>
    <x:row r="14">
      <x:c r="A14" s="13" t="n">
        <x:v>2023</x:v>
      </x:c>
      <x:c r="B14" s="13" t="n">
        <x:v>35</x:v>
      </x:c>
      <x:c r="C14" s="13" t="str">
        <x:v>Corinthians</x:v>
      </x:c>
      <x:c r="D14" s="13" t="str">
        <x:v>br BRA</x:v>
      </x:c>
      <x:c r="E14" s="13" t="str">
        <x:v>1. Série A</x:v>
      </x:c>
      <x:c r="F14" s="13" t="str">
        <x:v>13th</x:v>
      </x:c>
      <x:c r="G14" s="13" t="n">
        <x:v>36.8</x:v>
      </x:c>
      <x:c r="H14" s="13" t="n">
        <x:v>2</x:v>
      </x:c>
      <x:c r="I14" s="13" t="n">
        <x:v>0</x:v>
      </x:c>
      <x:c r="J14" s="13" t="n">
        <x:v>0</x:v>
      </x:c>
      <x:c r="K14" s="13" t="n">
        <x:v>1</x:v>
      </x:c>
      <x:c r="L14" s="13" t="n">
        <x:v>6</x:v>
      </x:c>
      <x:c r="M14" s="13" t="n">
        <x:v>0</x:v>
      </x:c>
      <x:c r="N14" s="13" t="n">
        <x:v>0</x:v>
      </x:c>
      <x:c r="O14" s="13" t="n">
        <x:v>0</x:v>
      </x:c>
      <x:c r="P14" s="13" t="n">
        <x:v>0</x:v>
      </x:c>
      <x:c r="Q14" s="13"/>
      <x:c r="R14" s="13"/>
      <x:c r="S14" s="13" t="n">
        <x:v>0</x:v>
      </x:c>
      <x:c r="T14" s="13" t="str">
        <x:v>Matches</x:v>
      </x:c>
    </x:row>
    <x:row r="15">
      <x:c r="A15" s="13" t="n">
        <x:v>2024</x:v>
      </x:c>
      <x:c r="B15" s="13" t="n">
        <x:v>36</x:v>
      </x:c>
      <x:c r="C15" s="13" t="str">
        <x:v>Corinthians</x:v>
      </x:c>
      <x:c r="D15" s="13" t="str">
        <x:v>br BRA</x:v>
      </x:c>
      <x:c r="E15" s="13" t="str">
        <x:v>1. Série A</x:v>
      </x:c>
      <x:c r="F15" s="13" t="str">
        <x:v>7th</x:v>
      </x:c>
      <x:c r="G15" s="13" t="n">
        <x:v>3</x:v>
      </x:c>
      <x:c r="H15" s="13" t="n">
        <x:v>0</x:v>
      </x:c>
      <x:c r="I15" s="13" t="n">
        <x:v>0</x:v>
      </x:c>
      <x:c r="J15" s="13" t="n">
        <x:v>0</x:v>
      </x:c>
      <x:c r="K15" s="13" t="n">
        <x:v>0</x:v>
      </x:c>
      <x:c r="L15" s="13" t="n">
        <x:v>0</x:v>
      </x:c>
      <x:c r="M15" s="13" t="n">
        <x:v>0</x:v>
      </x:c>
      <x:c r="N15" s="13" t="n">
        <x:v>0</x:v>
      </x:c>
      <x:c r="O15" s="13" t="n">
        <x:v>0</x:v>
      </x:c>
      <x:c r="P15" s="13" t="n">
        <x:v>0</x:v>
      </x:c>
      <x:c r="Q15" s="13"/>
      <x:c r="R15" s="13"/>
      <x:c r="S15" s="13" t="n">
        <x:v>0</x:v>
      </x:c>
      <x:c r="T15" s="13" t="str">
        <x:v>Matches</x:v>
      </x:c>
    </x:row>
    <x:row r="16">
      <x:c r="A16" s="13" t="n">
        <x:v>2024</x:v>
      </x:c>
      <x:c r="B16" s="13" t="n">
        <x:v>36</x:v>
      </x:c>
      <x:c r="C16" s="13" t="str">
        <x:v>Cruzeiro</x:v>
      </x:c>
      <x:c r="D16" s="13" t="str">
        <x:v>br BRA</x:v>
      </x:c>
      <x:c r="E16" s="13" t="str">
        <x:v>1. Série A</x:v>
      </x:c>
      <x:c r="F16" s="13" t="str">
        <x:v>9th</x:v>
      </x:c>
      <x:c r="G16" s="13" t="n">
        <x:v>21</x:v>
      </x:c>
      <x:c r="H16" s="13" t="n">
        <x:v>2</x:v>
      </x:c>
      <x:c r="I16" s="13" t="n">
        <x:v>0</x:v>
      </x:c>
      <x:c r="J16" s="13" t="n">
        <x:v>0</x:v>
      </x:c>
      <x:c r="K16" s="13" t="n">
        <x:v>0</x:v>
      </x:c>
      <x:c r="L16" s="13" t="n">
        <x:v>4</x:v>
      </x:c>
      <x:c r="M16" s="13" t="n">
        <x:v>0</x:v>
      </x:c>
      <x:c r="N16" s="13" t="n">
        <x:v>0</x:v>
      </x:c>
      <x:c r="O16" s="13" t="n">
        <x:v>1</x:v>
      </x:c>
      <x:c r="P16" s="13" t="n">
        <x:v>1</x:v>
      </x:c>
      <x:c r="Q16" s="13"/>
      <x:c r="R16" s="13"/>
      <x:c r="S16" s="13" t="n">
        <x:v>0</x:v>
      </x:c>
      <x:c r="T16" s="13" t="str">
        <x:v>Matches</x:v>
      </x:c>
    </x:row>
    <x:row r="17">
      <x:c r="A17" s="13" t="n">
        <x:v>2025</x:v>
      </x:c>
      <x:c r="B17" s="13" t="n">
        <x:v>37</x:v>
      </x:c>
      <x:c r="C17" s="13" t="str">
        <x:v>Cruzeiro</x:v>
      </x:c>
      <x:c r="D17" s="13" t="str">
        <x:v>br BRA</x:v>
      </x:c>
      <x:c r="E17" s="13" t="str">
        <x:v>1. Série A</x:v>
      </x:c>
      <x:c r="F17" s="13" t="str">
        <x:v>3rd</x:v>
      </x:c>
      <x:c r="G17" s="13" t="n">
        <x:v>34.3</x:v>
      </x:c>
      <x:c r="H17" s="13" t="n">
        <x:v>6</x:v>
      </x:c>
      <x:c r="I17" s="13" t="n">
        <x:v>0</x:v>
      </x:c>
      <x:c r="J17" s="13" t="n">
        <x:v>0</x:v>
      </x:c>
      <x:c r="K17" s="13" t="n">
        <x:v>0</x:v>
      </x:c>
      <x:c r="L17" s="13" t="n">
        <x:v>9</x:v>
      </x:c>
      <x:c r="M17" s="13" t="n">
        <x:v>0</x:v>
      </x:c>
      <x:c r="N17" s="13" t="n">
        <x:v>0</x:v>
      </x:c>
      <x:c r="O17" s="13" t="n">
        <x:v>0</x:v>
      </x:c>
      <x:c r="P17" s="13" t="n">
        <x:v>0</x:v>
      </x:c>
      <x:c r="Q17" s="13"/>
      <x:c r="R17" s="13"/>
      <x:c r="S17" s="13" t="n">
        <x:v>0</x:v>
      </x:c>
      <x:c r="T17" s="13" t="str">
        <x:v>Matches</x:v>
      </x:c>
    </x:row>
    <x:row r="18">
      <x:c r="A18" s="13" t="n">
        <x:v>2026</x:v>
      </x:c>
      <x:c r="B18" s="13" t="n">
        <x:v>38</x:v>
      </x:c>
      <x:c r="C18" s="13" t="str">
        <x:v>Cruzeiro</x:v>
      </x:c>
      <x:c r="D18" s="13" t="str">
        <x:v>br BRA</x:v>
      </x:c>
      <x:c r="E18" s="13" t="str">
        <x:v>1. Série A</x:v>
      </x:c>
      <x:c r="F18" s="13" t="str">
        <x:v>11th</x:v>
      </x:c>
      <x:c r="G18" s="13" t="n">
        <x:v>4.7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n">
        <x:v>2</x:v>
      </x:c>
      <x:c r="M18" s="13" t="n">
        <x:v>0</x:v>
      </x:c>
      <x:c r="N18" s="13" t="n">
        <x:v>0</x:v>
      </x:c>
      <x:c r="O18" s="13" t="n">
        <x:v>0</x:v>
      </x:c>
      <x:c r="P18" s="13" t="n">
        <x:v>0</x:v>
      </x:c>
      <x:c r="Q18" s="13"/>
      <x:c r="R18" s="13"/>
      <x:c r="S18" s="13" t="n">
        <x:v>0</x:v>
      </x:c>
      <x:c r="T18" s="13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7254fd4497ff478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2" t="str">
        <x:v>Country</x:v>
      </x:c>
      <x:c r="B1" s="12" t="str">
        <x:v>Comp</x:v>
      </x:c>
      <x:c r="C1" s="12" t="str">
        <x:v>LgRank</x:v>
      </x:c>
      <x:c r="D1" s="12" t="str">
        <x:v>90s</x:v>
      </x:c>
      <x:c r="E1" s="12" t="str">
        <x:v>CrdY</x:v>
      </x:c>
      <x:c r="F1" s="12" t="str">
        <x:v>CrdR</x:v>
      </x:c>
      <x:c r="G1" s="12" t="str">
        <x:v>2CrdY</x:v>
      </x:c>
      <x:c r="H1" s="12" t="str">
        <x:v>Fls</x:v>
      </x:c>
      <x:c r="I1" s="12" t="str">
        <x:v>Fld</x:v>
      </x:c>
      <x:c r="J1" s="12" t="str">
        <x:v>Off</x:v>
      </x:c>
      <x:c r="K1" s="12" t="str">
        <x:v>Crs</x:v>
      </x:c>
      <x:c r="L1" s="12" t="str">
        <x:v>Int</x:v>
      </x:c>
      <x:c r="M1" s="12" t="str">
        <x:v>TklW</x:v>
      </x:c>
      <x:c r="N1" s="12" t="str">
        <x:v>PKwon</x:v>
      </x:c>
      <x:c r="O1" s="12" t="str">
        <x:v>PKcon</x:v>
      </x:c>
      <x:c r="P1" s="12" t="str">
        <x:v>OG</x:v>
      </x:c>
      <x:c r="Q1" s="12" t="str">
        <x:v>Matches</x:v>
      </x:c>
      <x:c r="R1" s="12"/>
      <x:c r="S1" s="12"/>
      <x:c r="T1" s="12"/>
    </x:row>
    <x:row r="2">
      <x:c r="A2" s="13" t="str">
        <x:v>Corinthians (11 Seasons)</x:v>
      </x:c>
      <x:c r="B2" s="13"/>
      <x:c r="C2" s="13" t="str">
        <x:v>1 League</x:v>
      </x:c>
      <x:c r="D2" s="13"/>
      <x:c r="E2" s="13" t="n">
        <x:v>327.3</x:v>
      </x:c>
      <x:c r="F2" s="13" t="n">
        <x:v>30</x:v>
      </x:c>
      <x:c r="G2" s="13" t="n">
        <x:v>1</x:v>
      </x:c>
      <x:c r="H2" s="13" t="n">
        <x:v>0</x:v>
      </x:c>
      <x:c r="I2" s="13" t="n">
        <x:v>6</x:v>
      </x:c>
      <x:c r="J2" s="13" t="n">
        <x:v>48</x:v>
      </x:c>
      <x:c r="K2" s="13" t="n">
        <x:v>0</x:v>
      </x:c>
      <x:c r="L2" s="13" t="n">
        <x:v>2</x:v>
      </x:c>
      <x:c r="M2" s="13" t="n">
        <x:v>13</x:v>
      </x:c>
      <x:c r="N2" s="13" t="n">
        <x:v>8</x:v>
      </x:c>
      <x:c r="O2" s="13" t="n">
        <x:v>0</x:v>
      </x:c>
      <x:c r="P2" s="13" t="n">
        <x:v>0</x:v>
      </x:c>
      <x:c r="Q2" s="13" t="n">
        <x:v>0</x:v>
      </x:c>
      <x:c r="R2" s="13"/>
      <x:c r="S2" s="13"/>
      <x:c r="T2" s="13"/>
    </x:row>
    <x:row r="3">
      <x:c r="A3" s="13" t="str">
        <x:v>Cruzeiro (3 Seasons)</x:v>
      </x:c>
      <x:c r="B3" s="13"/>
      <x:c r="C3" s="13" t="str">
        <x:v>1 League</x:v>
      </x:c>
      <x:c r="D3" s="13"/>
      <x:c r="E3" s="13" t="n">
        <x:v>60</x:v>
      </x:c>
      <x:c r="F3" s="13" t="n">
        <x:v>8</x:v>
      </x:c>
      <x:c r="G3" s="13" t="n">
        <x:v>0</x:v>
      </x:c>
      <x:c r="H3" s="13" t="n">
        <x:v>0</x:v>
      </x:c>
      <x:c r="I3" s="13" t="n">
        <x:v>0</x:v>
      </x:c>
      <x:c r="J3" s="13" t="n">
        <x:v>15</x:v>
      </x:c>
      <x:c r="K3" s="13" t="n">
        <x:v>0</x:v>
      </x:c>
      <x:c r="L3" s="13" t="n">
        <x:v>0</x:v>
      </x:c>
      <x:c r="M3" s="13" t="n">
        <x:v>1</x:v>
      </x:c>
      <x:c r="N3" s="13" t="n">
        <x:v>1</x:v>
      </x:c>
      <x:c r="O3" s="13"/>
      <x:c r="P3" s="13"/>
      <x:c r="Q3" s="13" t="n">
        <x:v>0</x:v>
      </x:c>
      <x:c r="R3" s="13"/>
      <x:c r="S3" s="13"/>
      <x:c r="T3" s="13"/>
    </x:row>
    <x:row r="4">
      <x:c r="A4" s="13" t="str">
        <x:v>PSV (2 Seasons)</x:v>
      </x:c>
      <x:c r="B4" s="13"/>
      <x:c r="C4" s="13" t="str">
        <x:v>1 League</x:v>
      </x:c>
      <x:c r="D4" s="13"/>
      <x:c r="E4" s="13" t="n">
        <x:v>2.5</x:v>
      </x:c>
      <x:c r="F4" s="13" t="n">
        <x:v>0</x:v>
      </x:c>
      <x:c r="G4" s="13" t="n">
        <x:v>0</x:v>
      </x:c>
      <x:c r="H4" s="13"/>
      <x:c r="I4" s="13" t="n">
        <x:v>0</x:v>
      </x:c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</x:row>
    <x:row r="5">
      <x:c r="A5" s="13" t="str">
        <x:v>Sparta Rotterdam (1 Season)</x:v>
      </x:c>
      <x:c r="B5" s="13"/>
      <x:c r="C5" s="13" t="str">
        <x:v>1 League</x:v>
      </x:c>
      <x:c r="D5" s="13"/>
      <x:c r="E5" s="13" t="n">
        <x:v>14</x:v>
      </x:c>
      <x:c r="F5" s="13" t="n">
        <x:v>0</x:v>
      </x:c>
      <x:c r="G5" s="13" t="n">
        <x:v>0</x:v>
      </x:c>
      <x:c r="H5" s="13"/>
      <x:c r="I5" s="13" t="n">
        <x:v>0</x:v>
      </x:c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</x:row>
    <x:row r="6">
      <x:c r="A6" s="13" t="str">
        <x:v>Série A (13 Seasons)</x:v>
      </x:c>
      <x:c r="B6" s="13"/>
      <x:c r="C6" s="13"/>
      <x:c r="D6" s="13"/>
      <x:c r="E6" s="13" t="n">
        <x:v>387.2</x:v>
      </x:c>
      <x:c r="F6" s="13" t="n">
        <x:v>38</x:v>
      </x:c>
      <x:c r="G6" s="13" t="n">
        <x:v>1</x:v>
      </x:c>
      <x:c r="H6" s="13" t="n">
        <x:v>0</x:v>
      </x:c>
      <x:c r="I6" s="13" t="n">
        <x:v>6</x:v>
      </x:c>
      <x:c r="J6" s="13" t="n">
        <x:v>63</x:v>
      </x:c>
      <x:c r="K6" s="13" t="n">
        <x:v>0</x:v>
      </x:c>
      <x:c r="L6" s="13" t="n">
        <x:v>2</x:v>
      </x:c>
      <x:c r="M6" s="13" t="n">
        <x:v>14</x:v>
      </x:c>
      <x:c r="N6" s="13" t="n">
        <x:v>9</x:v>
      </x:c>
      <x:c r="O6" s="13" t="n">
        <x:v>0</x:v>
      </x:c>
      <x:c r="P6" s="13" t="n">
        <x:v>0</x:v>
      </x:c>
      <x:c r="Q6" s="13" t="n">
        <x:v>0</x:v>
      </x:c>
      <x:c r="R6" s="13"/>
      <x:c r="S6" s="13"/>
      <x:c r="T6" s="13"/>
    </x:row>
    <x:row r="7">
      <x:c r="A7" s="13" t="str">
        <x:v>Eredivisie (2 Seasons)</x:v>
      </x:c>
      <x:c r="B7" s="13"/>
      <x:c r="C7" s="13"/>
      <x:c r="D7" s="13"/>
      <x:c r="E7" s="13" t="n">
        <x:v>16.5</x:v>
      </x:c>
      <x:c r="F7" s="13" t="n">
        <x:v>0</x:v>
      </x:c>
      <x:c r="G7" s="13" t="n">
        <x:v>0</x:v>
      </x:c>
      <x:c r="H7" s="13"/>
      <x:c r="I7" s="13" t="n">
        <x:v>0</x:v>
      </x:c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</x:row>
    <x:row r="8">
      <x:c r="A8" s="13" t="str">
        <x:v>15 Seasons</x:v>
      </x:c>
      <x:c r="B8" s="13" t="str">
        <x:v>4 Clubs</x:v>
      </x:c>
      <x:c r="C8" s="13"/>
      <x:c r="D8" s="13" t="str">
        <x:v>2 Leagues</x:v>
      </x:c>
      <x:c r="E8" s="13"/>
      <x:c r="F8" s="13" t="n">
        <x:v>403.7</x:v>
      </x:c>
      <x:c r="G8" s="13" t="n">
        <x:v>38</x:v>
      </x:c>
      <x:c r="H8" s="13" t="n">
        <x:v>1</x:v>
      </x:c>
      <x:c r="I8" s="13" t="n">
        <x:v>0</x:v>
      </x:c>
      <x:c r="J8" s="13" t="n">
        <x:v>6</x:v>
      </x:c>
      <x:c r="K8" s="13" t="n">
        <x:v>63</x:v>
      </x:c>
      <x:c r="L8" s="13" t="n">
        <x:v>0</x:v>
      </x:c>
      <x:c r="M8" s="13" t="n">
        <x:v>2</x:v>
      </x:c>
      <x:c r="N8" s="13" t="n">
        <x:v>14</x:v>
      </x:c>
      <x:c r="O8" s="13" t="n">
        <x:v>9</x:v>
      </x:c>
      <x:c r="P8" s="13" t="n">
        <x:v>0</x:v>
      </x:c>
      <x:c r="Q8" s="13" t="n">
        <x:v>0</x:v>
      </x:c>
      <x:c r="R8" s="13" t="n">
        <x:v>0</x:v>
      </x:c>
      <x:c r="S8" s="13"/>
      <x:c r="T8" s="13"/>
    </x:row>
  </x:sheetData>
  <x:pageMargins left="0.7" right="0.7" top="0.75" bottom="0.75" header="0.3" footer="0.3"/>
  <x:tableParts count="1">
    <x:tablePart xmlns:r="http://schemas.openxmlformats.org/officeDocument/2006/relationships" r:id="R37c593b1a94a44a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Dom_MP</x:v>
      </x:c>
      <x:c r="G1" s="12" t="str">
        <x:v>Dom_Min</x:v>
      </x:c>
      <x:c r="H1" s="12" t="str">
        <x:v>Dom_GA</x:v>
      </x:c>
      <x:c r="I1" s="12" t="str">
        <x:v>Dom_CS</x:v>
      </x:c>
      <x:c r="J1" s="12" t="str">
        <x:v>IntCup_MP</x:v>
      </x:c>
      <x:c r="K1" s="12" t="str">
        <x:v>IntCup_Min</x:v>
      </x:c>
      <x:c r="L1" s="12" t="str">
        <x:v>IntCup_GA</x:v>
      </x:c>
      <x:c r="M1" s="12" t="str">
        <x:v>IntCup_CS</x:v>
      </x:c>
      <x:c r="N1" s="12" t="str">
        <x:v>All_MP</x:v>
      </x:c>
      <x:c r="O1" s="12" t="str">
        <x:v>All_Min</x:v>
      </x:c>
      <x:c r="P1" s="12" t="str">
        <x:v>All_GA</x:v>
      </x:c>
      <x:c r="Q1" s="12" t="str">
        <x:v>All_CS</x:v>
      </x:c>
      <x:c r="R1" s="12" t="str">
        <x:v>Matches</x:v>
      </x:c>
    </x:row>
    <x:row r="2">
      <x:c r="A2" s="13" t="str">
        <x:v>2008-2009</x:v>
      </x:c>
      <x:c r="B2" s="13" t="n">
        <x:v>21</x:v>
      </x:c>
      <x:c r="C2" s="13" t="str">
        <x:v>PSV</x:v>
      </x:c>
      <x:c r="D2" s="13" t="str">
        <x:v>nl NED</x:v>
      </x:c>
      <x:c r="E2" s="13" t="str">
        <x:v>1. Eredivisie</x:v>
      </x:c>
      <x:c r="F2" s="13" t="n">
        <x:v>1</x:v>
      </x:c>
      <x:c r="G2" s="13" t="n">
        <x:v>90</x:v>
      </x:c>
      <x:c r="H2" s="13" t="n">
        <x:v>1</x:v>
      </x:c>
      <x:c r="I2" s="13" t="n">
        <x:v>0</x:v>
      </x:c>
      <x:c r="J2" s="13"/>
      <x:c r="K2" s="13"/>
      <x:c r="L2" s="13"/>
      <x:c r="M2" s="13"/>
      <x:c r="N2" s="13" t="n">
        <x:v>1</x:v>
      </x:c>
      <x:c r="O2" s="13" t="n">
        <x:v>90</x:v>
      </x:c>
      <x:c r="P2" s="13" t="n">
        <x:v>1</x:v>
      </x:c>
      <x:c r="Q2" s="13" t="n">
        <x:v>0</x:v>
      </x:c>
      <x:c r="R2" s="13" t="str">
        <x:v>Matches</x:v>
      </x:c>
    </x:row>
    <x:row r="3">
      <x:c r="A3" s="13" t="str">
        <x:v>2008-2009</x:v>
      </x:c>
      <x:c r="B3" s="13" t="n">
        <x:v>21</x:v>
      </x:c>
      <x:c r="C3" s="13" t="str">
        <x:v>Sparta Rotterdam</x:v>
      </x:c>
      <x:c r="D3" s="13" t="str">
        <x:v>nl NED</x:v>
      </x:c>
      <x:c r="E3" s="13" t="str">
        <x:v>1. Eredivisie</x:v>
      </x:c>
      <x:c r="F3" s="13" t="n">
        <x:v>14</x:v>
      </x:c>
      <x:c r="G3" s="13" t="n">
        <x:v>1260</x:v>
      </x:c>
      <x:c r="H3" s="13" t="n">
        <x:v>19</x:v>
      </x:c>
      <x:c r="I3" s="13" t="n">
        <x:v>5</x:v>
      </x:c>
      <x:c r="J3" s="13"/>
      <x:c r="K3" s="13"/>
      <x:c r="L3" s="13"/>
      <x:c r="M3" s="13"/>
      <x:c r="N3" s="13" t="n">
        <x:v>14</x:v>
      </x:c>
      <x:c r="O3" s="13" t="n">
        <x:v>1260</x:v>
      </x:c>
      <x:c r="P3" s="13" t="n">
        <x:v>19</x:v>
      </x:c>
      <x:c r="Q3" s="13" t="n">
        <x:v>5</x:v>
      </x:c>
      <x:c r="R3" s="13" t="str">
        <x:v>Matches</x:v>
      </x:c>
    </x:row>
    <x:row r="4">
      <x:c r="A4" s="13" t="str">
        <x:v>2010-2011</x:v>
      </x:c>
      <x:c r="B4" s="13" t="n">
        <x:v>23</x:v>
      </x:c>
      <x:c r="C4" s="13" t="str">
        <x:v>PSV</x:v>
      </x:c>
      <x:c r="D4" s="13" t="str">
        <x:v>nl NED</x:v>
      </x:c>
      <x:c r="E4" s="13" t="str">
        <x:v>1. Eredivisie</x:v>
      </x:c>
      <x:c r="F4" s="13" t="n">
        <x:v>2</x:v>
      </x:c>
      <x:c r="G4" s="13" t="n">
        <x:v>131</x:v>
      </x:c>
      <x:c r="H4" s="13" t="n">
        <x:v>3</x:v>
      </x:c>
      <x:c r="I4" s="13" t="n">
        <x:v>1</x:v>
      </x:c>
      <x:c r="J4" s="13" t="n">
        <x:v>1</x:v>
      </x:c>
      <x:c r="K4" s="13" t="n">
        <x:v>90</x:v>
      </x:c>
      <x:c r="L4" s="13" t="n">
        <x:v>0</x:v>
      </x:c>
      <x:c r="M4" s="13" t="n">
        <x:v>1</x:v>
      </x:c>
      <x:c r="N4" s="13" t="n">
        <x:v>3</x:v>
      </x:c>
      <x:c r="O4" s="13" t="n">
        <x:v>221</x:v>
      </x:c>
      <x:c r="P4" s="13" t="n">
        <x:v>3</x:v>
      </x:c>
      <x:c r="Q4" s="13" t="n">
        <x:v>2</x:v>
      </x:c>
      <x:c r="R4" s="13" t="str">
        <x:v>Matches</x:v>
      </x:c>
    </x:row>
    <x:row r="5">
      <x:c r="A5" s="13" t="n">
        <x:v>2014</x:v>
      </x:c>
      <x:c r="B5" s="13" t="n">
        <x:v>26</x:v>
      </x:c>
      <x:c r="C5" s="13" t="str">
        <x:v>Corinthians</x:v>
      </x:c>
      <x:c r="D5" s="13" t="str">
        <x:v>br BRA</x:v>
      </x:c>
      <x:c r="E5" s="13" t="str">
        <x:v>1. Série A</x:v>
      </x:c>
      <x:c r="F5" s="13" t="n">
        <x:v>35</x:v>
      </x:c>
      <x:c r="G5" s="13" t="n">
        <x:v>3069</x:v>
      </x:c>
      <x:c r="H5" s="13"/>
      <x:c r="I5" s="13" t="n">
        <x:v>14</x:v>
      </x:c>
      <x:c r="J5" s="13"/>
      <x:c r="K5" s="13"/>
      <x:c r="L5" s="13"/>
      <x:c r="M5" s="13"/>
      <x:c r="N5" s="13" t="n">
        <x:v>35</x:v>
      </x:c>
      <x:c r="O5" s="13" t="n">
        <x:v>3069</x:v>
      </x:c>
      <x:c r="P5" s="13" t="n">
        <x:v>0</x:v>
      </x:c>
      <x:c r="Q5" s="13" t="n">
        <x:v>14</x:v>
      </x:c>
      <x:c r="R5" s="13" t="str">
        <x:v>Matches</x:v>
      </x:c>
    </x:row>
    <x:row r="6">
      <x:c r="A6" s="13" t="n">
        <x:v>2015</x:v>
      </x:c>
      <x:c r="B6" s="13" t="n">
        <x:v>27</x:v>
      </x:c>
      <x:c r="C6" s="13" t="str">
        <x:v>Corinthians</x:v>
      </x:c>
      <x:c r="D6" s="13" t="str">
        <x:v>br BRA</x:v>
      </x:c>
      <x:c r="E6" s="13" t="str">
        <x:v>1. Série A</x:v>
      </x:c>
      <x:c r="F6" s="13" t="n">
        <x:v>35</x:v>
      </x:c>
      <x:c r="G6" s="13" t="n">
        <x:v>3105</x:v>
      </x:c>
      <x:c r="H6" s="13"/>
      <x:c r="I6" s="13" t="n">
        <x:v>15</x:v>
      </x:c>
      <x:c r="J6" s="13" t="n">
        <x:v>10</x:v>
      </x:c>
      <x:c r="K6" s="13" t="n">
        <x:v>900</x:v>
      </x:c>
      <x:c r="L6" s="13"/>
      <x:c r="M6" s="13" t="n">
        <x:v>5</x:v>
      </x:c>
      <x:c r="N6" s="13" t="n">
        <x:v>45</x:v>
      </x:c>
      <x:c r="O6" s="13" t="n">
        <x:v>4005</x:v>
      </x:c>
      <x:c r="P6" s="13" t="n">
        <x:v>0</x:v>
      </x:c>
      <x:c r="Q6" s="13" t="n">
        <x:v>20</x:v>
      </x:c>
      <x:c r="R6" s="13" t="str">
        <x:v>Matches</x:v>
      </x:c>
    </x:row>
    <x:row r="7">
      <x:c r="A7" s="13" t="n">
        <x:v>2016</x:v>
      </x:c>
      <x:c r="B7" s="13" t="n">
        <x:v>28</x:v>
      </x:c>
      <x:c r="C7" s="13" t="str">
        <x:v>Corinthians</x:v>
      </x:c>
      <x:c r="D7" s="13" t="str">
        <x:v>br BRA</x:v>
      </x:c>
      <x:c r="E7" s="13" t="str">
        <x:v>1. Série A</x:v>
      </x:c>
      <x:c r="F7" s="13" t="n">
        <x:v>21</x:v>
      </x:c>
      <x:c r="G7" s="13" t="n">
        <x:v>1784</x:v>
      </x:c>
      <x:c r="H7" s="13" t="n">
        <x:v>26</x:v>
      </x:c>
      <x:c r="I7" s="13" t="n">
        <x:v>5</x:v>
      </x:c>
      <x:c r="J7" s="13" t="n">
        <x:v>8</x:v>
      </x:c>
      <x:c r="K7" s="13" t="n">
        <x:v>720</x:v>
      </x:c>
      <x:c r="L7" s="13"/>
      <x:c r="M7" s="13" t="n">
        <x:v>5</x:v>
      </x:c>
      <x:c r="N7" s="13" t="n">
        <x:v>29</x:v>
      </x:c>
      <x:c r="O7" s="13" t="n">
        <x:v>2504</x:v>
      </x:c>
      <x:c r="P7" s="13" t="n">
        <x:v>26</x:v>
      </x:c>
      <x:c r="Q7" s="13" t="n">
        <x:v>10</x:v>
      </x:c>
      <x:c r="R7" s="13" t="str">
        <x:v>Matches</x:v>
      </x:c>
    </x:row>
    <x:row r="8">
      <x:c r="A8" s="13" t="n">
        <x:v>2017</x:v>
      </x:c>
      <x:c r="B8" s="13" t="n">
        <x:v>29</x:v>
      </x:c>
      <x:c r="C8" s="13" t="str">
        <x:v>Corinthians</x:v>
      </x:c>
      <x:c r="D8" s="13" t="str">
        <x:v>br BRA</x:v>
      </x:c>
      <x:c r="E8" s="13" t="str">
        <x:v>1. Série A</x:v>
      </x:c>
      <x:c r="F8" s="13" t="n">
        <x:v>35</x:v>
      </x:c>
      <x:c r="G8" s="13" t="n">
        <x:v>3150</x:v>
      </x:c>
      <x:c r="H8" s="13" t="n">
        <x:v>29</x:v>
      </x:c>
      <x:c r="I8" s="13" t="n">
        <x:v>16</x:v>
      </x:c>
      <x:c r="J8" s="13" t="n">
        <x:v>6</x:v>
      </x:c>
      <x:c r="K8" s="13" t="n">
        <x:v>540</x:v>
      </x:c>
      <x:c r="L8" s="13" t="n">
        <x:v>2</x:v>
      </x:c>
      <x:c r="M8" s="13" t="n">
        <x:v>3</x:v>
      </x:c>
      <x:c r="N8" s="13" t="n">
        <x:v>41</x:v>
      </x:c>
      <x:c r="O8" s="13" t="n">
        <x:v>3690</x:v>
      </x:c>
      <x:c r="P8" s="13" t="n">
        <x:v>31</x:v>
      </x:c>
      <x:c r="Q8" s="13" t="n">
        <x:v>19</x:v>
      </x:c>
      <x:c r="R8" s="13" t="str">
        <x:v>Matches</x:v>
      </x:c>
    </x:row>
    <x:row r="9">
      <x:c r="A9" s="13" t="n">
        <x:v>2018</x:v>
      </x:c>
      <x:c r="B9" s="13" t="n">
        <x:v>30</x:v>
      </x:c>
      <x:c r="C9" s="13" t="str">
        <x:v>Corinthians</x:v>
      </x:c>
      <x:c r="D9" s="13" t="str">
        <x:v>br BRA</x:v>
      </x:c>
      <x:c r="E9" s="13" t="str">
        <x:v>1. Série A</x:v>
      </x:c>
      <x:c r="F9" s="13" t="n">
        <x:v>27</x:v>
      </x:c>
      <x:c r="G9" s="13" t="n">
        <x:v>2378</x:v>
      </x:c>
      <x:c r="H9" s="13" t="n">
        <x:v>24</x:v>
      </x:c>
      <x:c r="I9" s="13" t="n">
        <x:v>9</x:v>
      </x:c>
      <x:c r="J9" s="13" t="n">
        <x:v>7</x:v>
      </x:c>
      <x:c r="K9" s="13" t="n">
        <x:v>630</x:v>
      </x:c>
      <x:c r="L9" s="13" t="n">
        <x:v>6</x:v>
      </x:c>
      <x:c r="M9" s="13" t="n">
        <x:v>3</x:v>
      </x:c>
      <x:c r="N9" s="13" t="n">
        <x:v>34</x:v>
      </x:c>
      <x:c r="O9" s="13" t="n">
        <x:v>3008</x:v>
      </x:c>
      <x:c r="P9" s="13" t="n">
        <x:v>30</x:v>
      </x:c>
      <x:c r="Q9" s="13" t="n">
        <x:v>12</x:v>
      </x:c>
      <x:c r="R9" s="13" t="str">
        <x:v>Matches</x:v>
      </x:c>
    </x:row>
    <x:row r="10">
      <x:c r="A10" s="13" t="n">
        <x:v>2019</x:v>
      </x:c>
      <x:c r="B10" s="13" t="n">
        <x:v>31</x:v>
      </x:c>
      <x:c r="C10" s="13" t="str">
        <x:v>Corinthians</x:v>
      </x:c>
      <x:c r="D10" s="13" t="str">
        <x:v>br BRA</x:v>
      </x:c>
      <x:c r="E10" s="13" t="str">
        <x:v>1. Série A</x:v>
      </x:c>
      <x:c r="F10" s="13" t="n">
        <x:v>32</x:v>
      </x:c>
      <x:c r="G10" s="13" t="n">
        <x:v>2860</x:v>
      </x:c>
      <x:c r="H10" s="13" t="n">
        <x:v>28</x:v>
      </x:c>
      <x:c r="I10" s="13" t="n">
        <x:v>15</x:v>
      </x:c>
      <x:c r="J10" s="13" t="n">
        <x:v>10</x:v>
      </x:c>
      <x:c r="K10" s="13" t="n">
        <x:v>930</x:v>
      </x:c>
      <x:c r="L10" s="13" t="n">
        <x:v>8</x:v>
      </x:c>
      <x:c r="M10" s="13" t="n">
        <x:v>4</x:v>
      </x:c>
      <x:c r="N10" s="13" t="n">
        <x:v>42</x:v>
      </x:c>
      <x:c r="O10" s="13" t="n">
        <x:v>3790</x:v>
      </x:c>
      <x:c r="P10" s="13" t="n">
        <x:v>36</x:v>
      </x:c>
      <x:c r="Q10" s="13" t="n">
        <x:v>19</x:v>
      </x:c>
      <x:c r="R10" s="13" t="str">
        <x:v>Matches</x:v>
      </x:c>
    </x:row>
    <x:row r="11">
      <x:c r="A11" s="13" t="n">
        <x:v>2020</x:v>
      </x:c>
      <x:c r="B11" s="13" t="n">
        <x:v>32</x:v>
      </x:c>
      <x:c r="C11" s="13" t="str">
        <x:v>Corinthians</x:v>
      </x:c>
      <x:c r="D11" s="13" t="str">
        <x:v>br BRA</x:v>
      </x:c>
      <x:c r="E11" s="13" t="str">
        <x:v>1. Série A</x:v>
      </x:c>
      <x:c r="F11" s="13" t="n">
        <x:v>35</x:v>
      </x:c>
      <x:c r="G11" s="13" t="n">
        <x:v>3142</x:v>
      </x:c>
      <x:c r="H11" s="13" t="n">
        <x:v>45</x:v>
      </x:c>
      <x:c r="I11" s="13" t="n">
        <x:v>11</x:v>
      </x:c>
      <x:c r="J11" s="13"/>
      <x:c r="K11" s="13"/>
      <x:c r="L11" s="13"/>
      <x:c r="M11" s="13"/>
      <x:c r="N11" s="13" t="n">
        <x:v>35</x:v>
      </x:c>
      <x:c r="O11" s="13" t="n">
        <x:v>3142</x:v>
      </x:c>
      <x:c r="P11" s="13" t="n">
        <x:v>45</x:v>
      </x:c>
      <x:c r="Q11" s="13" t="n">
        <x:v>11</x:v>
      </x:c>
      <x:c r="R11" s="13" t="str">
        <x:v>Matches</x:v>
      </x:c>
    </x:row>
    <x:row r="12">
      <x:c r="A12" s="13" t="n">
        <x:v>2021</x:v>
      </x:c>
      <x:c r="B12" s="13" t="n">
        <x:v>33</x:v>
      </x:c>
      <x:c r="C12" s="13" t="str">
        <x:v>Corinthians</x:v>
      </x:c>
      <x:c r="D12" s="13" t="str">
        <x:v>br BRA</x:v>
      </x:c>
      <x:c r="E12" s="13" t="str">
        <x:v>1. Série A</x:v>
      </x:c>
      <x:c r="F12" s="13" t="n">
        <x:v>37</x:v>
      </x:c>
      <x:c r="G12" s="13" t="n">
        <x:v>3330</x:v>
      </x:c>
      <x:c r="H12" s="13" t="n">
        <x:v>36</x:v>
      </x:c>
      <x:c r="I12" s="13" t="n">
        <x:v>11</x:v>
      </x:c>
      <x:c r="J12" s="13" t="n">
        <x:v>6</x:v>
      </x:c>
      <x:c r="K12" s="13" t="n">
        <x:v>495</x:v>
      </x:c>
      <x:c r="L12" s="13" t="n">
        <x:v>6</x:v>
      </x:c>
      <x:c r="M12" s="13" t="n">
        <x:v>4</x:v>
      </x:c>
      <x:c r="N12" s="13" t="n">
        <x:v>43</x:v>
      </x:c>
      <x:c r="O12" s="13" t="n">
        <x:v>3825</x:v>
      </x:c>
      <x:c r="P12" s="13" t="n">
        <x:v>42</x:v>
      </x:c>
      <x:c r="Q12" s="13" t="n">
        <x:v>15</x:v>
      </x:c>
      <x:c r="R12" s="13" t="str">
        <x:v>Matches</x:v>
      </x:c>
    </x:row>
    <x:row r="13">
      <x:c r="A13" s="13" t="n">
        <x:v>2022</x:v>
      </x:c>
      <x:c r="B13" s="13" t="n">
        <x:v>34</x:v>
      </x:c>
      <x:c r="C13" s="13" t="str">
        <x:v>Corinthians</x:v>
      </x:c>
      <x:c r="D13" s="13" t="str">
        <x:v>br BRA</x:v>
      </x:c>
      <x:c r="E13" s="13" t="str">
        <x:v>1. Série A</x:v>
      </x:c>
      <x:c r="F13" s="13" t="n">
        <x:v>34</x:v>
      </x:c>
      <x:c r="G13" s="13" t="n">
        <x:v>3059</x:v>
      </x:c>
      <x:c r="H13" s="13" t="n">
        <x:v>28</x:v>
      </x:c>
      <x:c r="I13" s="13" t="n">
        <x:v>14</x:v>
      </x:c>
      <x:c r="J13" s="13" t="n">
        <x:v>9</x:v>
      </x:c>
      <x:c r="K13" s="13" t="n">
        <x:v>840</x:v>
      </x:c>
      <x:c r="L13" s="13" t="n">
        <x:v>6</x:v>
      </x:c>
      <x:c r="M13" s="13" t="n">
        <x:v>5</x:v>
      </x:c>
      <x:c r="N13" s="13" t="n">
        <x:v>43</x:v>
      </x:c>
      <x:c r="O13" s="13" t="n">
        <x:v>3899</x:v>
      </x:c>
      <x:c r="P13" s="13" t="n">
        <x:v>34</x:v>
      </x:c>
      <x:c r="Q13" s="13" t="n">
        <x:v>19</x:v>
      </x:c>
      <x:c r="R13" s="13" t="str">
        <x:v>Matches</x:v>
      </x:c>
    </x:row>
    <x:row r="14">
      <x:c r="A14" s="13" t="n">
        <x:v>2023</x:v>
      </x:c>
      <x:c r="B14" s="13" t="n">
        <x:v>35</x:v>
      </x:c>
      <x:c r="C14" s="13" t="str">
        <x:v>Corinthians</x:v>
      </x:c>
      <x:c r="D14" s="13" t="str">
        <x:v>br BRA</x:v>
      </x:c>
      <x:c r="E14" s="13" t="str">
        <x:v>1. Série A</x:v>
      </x:c>
      <x:c r="F14" s="13" t="n">
        <x:v>37</x:v>
      </x:c>
      <x:c r="G14" s="13" t="n">
        <x:v>3310</x:v>
      </x:c>
      <x:c r="H14" s="13" t="n">
        <x:v>48</x:v>
      </x:c>
      <x:c r="I14" s="13" t="n">
        <x:v>9</x:v>
      </x:c>
      <x:c r="J14" s="13" t="n">
        <x:v>10</x:v>
      </x:c>
      <x:c r="K14" s="13" t="n">
        <x:v>885</x:v>
      </x:c>
      <x:c r="L14" s="13" t="n">
        <x:v>11</x:v>
      </x:c>
      <x:c r="M14" s="13" t="n">
        <x:v>3</x:v>
      </x:c>
      <x:c r="N14" s="13" t="n">
        <x:v>47</x:v>
      </x:c>
      <x:c r="O14" s="13" t="n">
        <x:v>4195</x:v>
      </x:c>
      <x:c r="P14" s="13" t="n">
        <x:v>59</x:v>
      </x:c>
      <x:c r="Q14" s="13" t="n">
        <x:v>12</x:v>
      </x:c>
      <x:c r="R14" s="13" t="str">
        <x:v>Matches</x:v>
      </x:c>
    </x:row>
    <x:row r="15">
      <x:c r="A15" s="13" t="n">
        <x:v>2024</x:v>
      </x:c>
      <x:c r="B15" s="13" t="n">
        <x:v>36</x:v>
      </x:c>
      <x:c r="C15" s="13" t="str">
        <x:v>Corinthians</x:v>
      </x:c>
      <x:c r="D15" s="13" t="str">
        <x:v>br BRA</x:v>
      </x:c>
      <x:c r="E15" s="13" t="str">
        <x:v>1. Série A</x:v>
      </x:c>
      <x:c r="F15" s="13" t="n">
        <x:v>3</x:v>
      </x:c>
      <x:c r="G15" s="13" t="n">
        <x:v>270</x:v>
      </x:c>
      <x:c r="H15" s="13" t="n">
        <x:v>3</x:v>
      </x:c>
      <x:c r="I15" s="13" t="n">
        <x:v>1</x:v>
      </x:c>
      <x:c r="J15" s="13" t="n">
        <x:v>3</x:v>
      </x:c>
      <x:c r="K15" s="13" t="n">
        <x:v>270</x:v>
      </x:c>
      <x:c r="L15" s="13" t="n">
        <x:v>2</x:v>
      </x:c>
      <x:c r="M15" s="13" t="n">
        <x:v>1</x:v>
      </x:c>
      <x:c r="N15" s="13" t="n">
        <x:v>6</x:v>
      </x:c>
      <x:c r="O15" s="13" t="n">
        <x:v>540</x:v>
      </x:c>
      <x:c r="P15" s="13" t="n">
        <x:v>5</x:v>
      </x:c>
      <x:c r="Q15" s="13" t="n">
        <x:v>2</x:v>
      </x:c>
      <x:c r="R15" s="13" t="str">
        <x:v>Matches</x:v>
      </x:c>
    </x:row>
    <x:row r="16">
      <x:c r="A16" s="13" t="n">
        <x:v>2024</x:v>
      </x:c>
      <x:c r="B16" s="13" t="n">
        <x:v>36</x:v>
      </x:c>
      <x:c r="C16" s="13" t="str">
        <x:v>Cruzeiro</x:v>
      </x:c>
      <x:c r="D16" s="13" t="str">
        <x:v>br BRA</x:v>
      </x:c>
      <x:c r="E16" s="13" t="str">
        <x:v>1. Série A</x:v>
      </x:c>
      <x:c r="F16" s="13" t="n">
        <x:v>21</x:v>
      </x:c>
      <x:c r="G16" s="13" t="n">
        <x:v>1890</x:v>
      </x:c>
      <x:c r="H16" s="13" t="n">
        <x:v>19</x:v>
      </x:c>
      <x:c r="I16" s="13" t="n">
        <x:v>6</x:v>
      </x:c>
      <x:c r="J16" s="13" t="n">
        <x:v>7</x:v>
      </x:c>
      <x:c r="K16" s="13" t="n">
        <x:v>660</x:v>
      </x:c>
      <x:c r="L16" s="13" t="n">
        <x:v>7</x:v>
      </x:c>
      <x:c r="M16" s="13" t="n">
        <x:v>2</x:v>
      </x:c>
      <x:c r="N16" s="13" t="n">
        <x:v>28</x:v>
      </x:c>
      <x:c r="O16" s="13" t="n">
        <x:v>2550</x:v>
      </x:c>
      <x:c r="P16" s="13" t="n">
        <x:v>26</x:v>
      </x:c>
      <x:c r="Q16" s="13" t="n">
        <x:v>8</x:v>
      </x:c>
      <x:c r="R16" s="13" t="str">
        <x:v>Matches</x:v>
      </x:c>
    </x:row>
    <x:row r="17">
      <x:c r="A17" s="13" t="n">
        <x:v>2025</x:v>
      </x:c>
      <x:c r="B17" s="13" t="n">
        <x:v>37</x:v>
      </x:c>
      <x:c r="C17" s="13" t="str">
        <x:v>Cruzeiro</x:v>
      </x:c>
      <x:c r="D17" s="13" t="str">
        <x:v>br BRA</x:v>
      </x:c>
      <x:c r="E17" s="13" t="str">
        <x:v>1. Série A</x:v>
      </x:c>
      <x:c r="F17" s="13" t="n">
        <x:v>35</x:v>
      </x:c>
      <x:c r="G17" s="13" t="n">
        <x:v>3086</x:v>
      </x:c>
      <x:c r="H17" s="13" t="n">
        <x:v>27</x:v>
      </x:c>
      <x:c r="I17" s="13" t="n">
        <x:v>15</x:v>
      </x:c>
      <x:c r="J17" s="13" t="n">
        <x:v>4</x:v>
      </x:c>
      <x:c r="K17" s="13" t="n">
        <x:v>360</x:v>
      </x:c>
      <x:c r="L17" s="13" t="n">
        <x:v>6</x:v>
      </x:c>
      <x:c r="M17" s="13" t="n">
        <x:v>0</x:v>
      </x:c>
      <x:c r="N17" s="13" t="n">
        <x:v>39</x:v>
      </x:c>
      <x:c r="O17" s="13" t="n">
        <x:v>3446</x:v>
      </x:c>
      <x:c r="P17" s="13" t="n">
        <x:v>33</x:v>
      </x:c>
      <x:c r="Q17" s="13" t="n">
        <x:v>15</x:v>
      </x:c>
      <x:c r="R17" s="13" t="str">
        <x:v>Matches</x:v>
      </x:c>
    </x:row>
    <x:row r="18">
      <x:c r="A18" s="13" t="n">
        <x:v>2026</x:v>
      </x:c>
      <x:c r="B18" s="13" t="n">
        <x:v>38</x:v>
      </x:c>
      <x:c r="C18" s="13" t="str">
        <x:v>Cruzeiro</x:v>
      </x:c>
      <x:c r="D18" s="13" t="str">
        <x:v>br BRA</x:v>
      </x:c>
      <x:c r="E18" s="13" t="str">
        <x:v>1. Série A</x:v>
      </x:c>
      <x:c r="F18" s="13" t="n">
        <x:v>5</x:v>
      </x:c>
      <x:c r="G18" s="13" t="n">
        <x:v>421</x:v>
      </x:c>
      <x:c r="H18" s="13" t="n">
        <x:v>10</x:v>
      </x:c>
      <x:c r="I18" s="13" t="n">
        <x:v>0</x:v>
      </x:c>
      <x:c r="J18" s="13"/>
      <x:c r="K18" s="13"/>
      <x:c r="L18" s="13"/>
      <x:c r="M18" s="13"/>
      <x:c r="N18" s="13" t="n">
        <x:v>5</x:v>
      </x:c>
      <x:c r="O18" s="13" t="n">
        <x:v>421</x:v>
      </x:c>
      <x:c r="P18" s="13" t="n">
        <x:v>10</x:v>
      </x:c>
      <x:c r="Q18" s="13" t="n">
        <x:v>0</x:v>
      </x:c>
      <x:c r="R18" s="13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41caeba949ba4c5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12" t="str">
        <x:v>Season</x:v>
      </x:c>
      <x:c r="B1" s="12" t="str">
        <x:v>Age</x:v>
      </x:c>
      <x:c r="C1" s="12" t="str">
        <x:v>Squad</x:v>
      </x:c>
      <x:c r="D1" s="12" t="str">
        <x:v>Country</x:v>
      </x:c>
      <x:c r="E1" s="12" t="str">
        <x:v>Comp</x:v>
      </x:c>
      <x:c r="F1" s="12" t="str">
        <x:v>Dom_MP</x:v>
      </x:c>
      <x:c r="G1" s="12" t="str">
        <x:v>Dom_Min</x:v>
      </x:c>
      <x:c r="H1" s="12" t="str">
        <x:v>Dom_GA</x:v>
      </x:c>
      <x:c r="I1" s="12" t="str">
        <x:v>Dom_CS</x:v>
      </x:c>
      <x:c r="J1" s="12" t="str">
        <x:v>IntCup_MP</x:v>
      </x:c>
      <x:c r="K1" s="12" t="str">
        <x:v>IntCup_Min</x:v>
      </x:c>
      <x:c r="L1" s="12" t="str">
        <x:v>IntCup_GA</x:v>
      </x:c>
      <x:c r="M1" s="12" t="str">
        <x:v>IntCup_CS</x:v>
      </x:c>
      <x:c r="N1" s="12" t="str">
        <x:v>All_MP</x:v>
      </x:c>
      <x:c r="O1" s="12" t="str">
        <x:v>All_Min</x:v>
      </x:c>
      <x:c r="P1" s="12" t="str">
        <x:v>All_GA</x:v>
      </x:c>
      <x:c r="Q1" s="12" t="str">
        <x:v>All_CS</x:v>
      </x:c>
      <x:c r="R1" s="12" t="str">
        <x:v>Matches</x:v>
      </x:c>
    </x:row>
    <x:row r="2">
      <x:c r="A2" s="13" t="str">
        <x:v>15 Seasons*</x:v>
      </x:c>
      <x:c r="B2" s="13" t="str">
        <x:v>4 Clubs</x:v>
      </x:c>
      <x:c r="C2" s="13"/>
      <x:c r="D2" s="13"/>
      <x:c r="E2" s="13" t="n">
        <x:v>409</x:v>
      </x:c>
      <x:c r="F2" s="13" t="n">
        <x:v>36335</x:v>
      </x:c>
      <x:c r="G2" s="13" t="n">
        <x:v>346</x:v>
      </x:c>
      <x:c r="H2" s="13" t="n">
        <x:v>147</x:v>
      </x:c>
      <x:c r="I2" s="13" t="n">
        <x:v>81</x:v>
      </x:c>
      <x:c r="J2" s="13" t="n">
        <x:v>7320</x:v>
      </x:c>
      <x:c r="K2" s="13" t="n">
        <x:v>54</x:v>
      </x:c>
      <x:c r="L2" s="13" t="n">
        <x:v>36</x:v>
      </x:c>
      <x:c r="M2" s="13" t="n">
        <x:v>490</x:v>
      </x:c>
      <x:c r="N2" s="13" t="n">
        <x:v>43655</x:v>
      </x:c>
      <x:c r="O2" s="13" t="n">
        <x:v>400</x:v>
      </x:c>
      <x:c r="P2" s="13" t="n">
        <x:v>183</x:v>
      </x:c>
      <x:c r="Q2" s="13"/>
      <x:c r="R2" s="13"/>
    </x:row>
  </x:sheetData>
  <x:pageMargins left="0.7" right="0.7" top="0.75" bottom="0.75" header="0.3" footer="0.3"/>
  <x:tableParts count="1">
    <x:tablePart xmlns:r="http://schemas.openxmlformats.org/officeDocument/2006/relationships" r:id="Ra2137bf6515b49a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23" t="str">
        <x:v>Dashboard - Cássio Ramos</x:v>
      </x:c>
      <x:c r="B1"/>
      <x:c r="C1"/>
      <x:c r="D1"/>
      <x:c r="E1"/>
      <x:c r="F1"/>
      <x:c r="G1"/>
      <x:c r="H1"/>
    </x:row>
    <x:row r="3">
      <x:c r="A3" s="6" t="str">
        <x:v>Indicador</x:v>
      </x:c>
      <x:c r="B3" s="6" t="str">
        <x:v>Valor</x:v>
      </x:c>
      <x:c r="D3" s="6" t="str">
        <x:v>Temporada</x:v>
      </x:c>
      <x:c r="E3" s="6" t="str">
        <x:v>Clube</x:v>
      </x:c>
      <x:c r="F3" s="6" t="str">
        <x:v>GA90</x:v>
      </x:c>
      <x:c r="G3" s="6" t="str">
        <x:v>Save%</x:v>
      </x:c>
      <x:c r="H3" s="6" t="str">
        <x:v>CS</x:v>
      </x:c>
      <x:c r="I3" s="6" t="str">
        <x:v>Saves</x:v>
      </x:c>
      <x:c r="J3" s="6" t="str">
        <x:v>GA</x:v>
      </x:c>
    </x:row>
    <x:row r="4">
      <x:c r="A4" t="str">
        <x:v>Jogos em ligas domésticas</x:v>
      </x:c>
      <x:c r="B4" s="28" t="n">
        <x:f>SUM(Goleiro!G2:G18)</x:f>
        <x:v>409</x:v>
      </x:c>
      <x:c r="D4" t="str">
        <x:v>2008-2009</x:v>
      </x:c>
      <x:c r="E4" t="str">
        <x:v>Sparta Rotterdam</x:v>
      </x:c>
      <x:c r="F4" s="28" t="n">
        <x:v>19</x:v>
      </x:c>
      <x:c r="G4" s="28" t="n">
        <x:v>73.2</x:v>
      </x:c>
      <x:c r="H4" s="30" t="n">
        <x:v>8</x:v>
      </x:c>
      <x:c r="I4" s="30" t="n">
        <x:v>52</x:v>
      </x:c>
      <x:c r="J4" s="30" t="n">
        <x:v>14</x:v>
      </x:c>
    </x:row>
    <x:row r="5">
      <x:c r="A5" t="str">
        <x:v>Minutos em ligas domésticas</x:v>
      </x:c>
      <x:c r="B5" s="28" t="n">
        <x:f>SUM(Goleiro!I2:I18)</x:f>
        <x:v>36335</x:v>
      </x:c>
      <x:c r="D5" t="str">
        <x:v>2008-2009</x:v>
      </x:c>
      <x:c r="E5" t="str">
        <x:v>PSV</x:v>
      </x:c>
      <x:c r="F5" s="28" t="n">
        <x:v>1</x:v>
      </x:c>
      <x:c r="G5" s="28" t="n">
        <x:v>75</x:v>
      </x:c>
      <x:c r="H5" s="30" t="n">
        <x:v>0</x:v>
      </x:c>
      <x:c r="I5" s="30" t="n">
        <x:v>3</x:v>
      </x:c>
      <x:c r="J5" s="30" t="n">
        <x:v>1</x:v>
      </x:c>
    </x:row>
    <x:row r="6">
      <x:c r="A6" t="str">
        <x:v>Gols sofridos (GA)</x:v>
      </x:c>
      <x:c r="B6" s="28" t="n">
        <x:f>SUM(Goleiro!J2:J18)</x:f>
        <x:v>403.8</x:v>
      </x:c>
      <x:c r="D6" t="str">
        <x:v>2010-2011</x:v>
      </x:c>
      <x:c r="E6" t="str">
        <x:v>PSV</x:v>
      </x:c>
      <x:c r="F6" s="28" t="n">
        <x:v>3</x:v>
      </x:c>
      <x:c r="G6" s="28" t="n">
        <x:v>62.5</x:v>
      </x:c>
      <x:c r="H6" s="30" t="n">
        <x:v>1</x:v>
      </x:c>
      <x:c r="I6" s="30" t="n">
        <x:v>5</x:v>
      </x:c>
      <x:c r="J6" s="30" t="n">
        <x:v>1.5</x:v>
      </x:c>
    </x:row>
    <x:row r="7">
      <x:c r="A7" t="str">
        <x:v>Defesas (Saves)</x:v>
      </x:c>
      <x:c r="B7" s="28" t="n">
        <x:f>SUM(Goleiro!M2:M18)</x:f>
        <x:v>1379</x:v>
      </x:c>
      <x:c r="D7" t="n">
        <x:v>2014</x:v>
      </x:c>
      <x:c r="E7" t="str">
        <x:v>Corinthians</x:v>
      </x:c>
      <x:c r="F7" s="28"/>
      <x:c r="G7" s="28"/>
      <x:c r="H7" s="30" t="n">
        <x:v>7</x:v>
      </x:c>
      <x:c r="I7" s="30" t="n">
        <x:v>0</x:v>
      </x:c>
      <x:c r="J7" s="30" t="n">
        <x:v>34.1</x:v>
      </x:c>
    </x:row>
    <x:row r="8">
      <x:c r="A8" t="str">
        <x:v>Clean sheets (CS)</x:v>
      </x:c>
      <x:c r="B8" s="28" t="n">
        <x:f>SUM(Goleiro!Q2:Q18)</x:f>
        <x:v>129</x:v>
      </x:c>
      <x:c r="D8" t="n">
        <x:v>2015</x:v>
      </x:c>
      <x:c r="E8" t="str">
        <x:v>Corinthians</x:v>
      </x:c>
      <x:c r="F8" s="28"/>
      <x:c r="G8" s="28"/>
      <x:c r="H8" s="30" t="n">
        <x:v>4</x:v>
      </x:c>
      <x:c r="I8" s="30" t="n">
        <x:v>0</x:v>
      </x:c>
      <x:c r="J8" s="30" t="n">
        <x:v>34.5</x:v>
      </x:c>
    </x:row>
    <x:row r="9">
      <x:c r="A9" t="str">
        <x:v>Média GA90</x:v>
      </x:c>
      <x:c r="B9" s="28" t="n">
        <x:f>IFERROR(SUM(Goleiro!J2:J18)/SUM(Goleiro!I2:I18)*90,0)</x:f>
        <x:v>1.0001926517132242</x:v>
      </x:c>
      <x:c r="D9" t="n">
        <x:v>2016</x:v>
      </x:c>
      <x:c r="E9" t="str">
        <x:v>Corinthians</x:v>
      </x:c>
      <x:c r="F9" s="28" t="n">
        <x:v>26</x:v>
      </x:c>
      <x:c r="G9" s="28" t="n">
        <x:v>70</x:v>
      </x:c>
      <x:c r="H9" s="30" t="n">
        <x:v>7</x:v>
      </x:c>
      <x:c r="I9" s="30" t="n">
        <x:v>50</x:v>
      </x:c>
      <x:c r="J9" s="30" t="n">
        <x:v>19.8</x:v>
      </x:c>
    </x:row>
    <x:row r="10">
      <x:c r="A10" t="str">
        <x:v>Save% calculado</x:v>
      </x:c>
      <x:c r="B10" s="28" t="n">
        <x:f>IFERROR(SUM(Goleiro!M2:M18)/SUM(Goleiro!L2:L18)*100,0)</x:f>
        <x:v>7848.605577689242</x:v>
      </x:c>
      <x:c r="D10" t="n">
        <x:v>2017</x:v>
      </x:c>
      <x:c r="E10" t="str">
        <x:v>Corinthians</x:v>
      </x:c>
      <x:c r="F10" s="28" t="n">
        <x:v>29</x:v>
      </x:c>
      <x:c r="G10" s="28" t="n">
        <x:v>78.1</x:v>
      </x:c>
      <x:c r="H10" s="30" t="n">
        <x:v>8</x:v>
      </x:c>
      <x:c r="I10" s="30" t="n">
        <x:v>102</x:v>
      </x:c>
      <x:c r="J10" s="30" t="n">
        <x:v>35</x:v>
      </x:c>
    </x:row>
    <x:row r="11">
      <x:c r="D11" t="n">
        <x:v>2018</x:v>
      </x:c>
      <x:c r="E11" t="str">
        <x:v>Corinthians</x:v>
      </x:c>
      <x:c r="F11" s="28" t="n">
        <x:v>24</x:v>
      </x:c>
      <x:c r="G11" s="28" t="n">
        <x:v>80.7</x:v>
      </x:c>
      <x:c r="H11" s="30" t="n">
        <x:v>10</x:v>
      </x:c>
      <x:c r="I11" s="30" t="n">
        <x:v>88</x:v>
      </x:c>
      <x:c r="J11" s="30" t="n">
        <x:v>26.4</x:v>
      </x:c>
    </x:row>
    <x:row r="12">
      <x:c r="A12" s="6" t="str">
        <x:v>Observação</x:v>
      </x:c>
      <x:c r="B12" s="32" t="str">
        <x:v>Dados organizados a partir do texto colado pelo usuário, originalmente em formato de página do FBref.</x:v>
      </x:c>
      <x:c r="D12" t="n">
        <x:v>2019</x:v>
      </x:c>
      <x:c r="E12" t="str">
        <x:v>Corinthians</x:v>
      </x:c>
      <x:c r="F12" s="28" t="n">
        <x:v>28</x:v>
      </x:c>
      <x:c r="G12" s="28" t="n">
        <x:v>76.5</x:v>
      </x:c>
      <x:c r="H12" s="30" t="n">
        <x:v>8</x:v>
      </x:c>
      <x:c r="I12" s="30" t="n">
        <x:v>79</x:v>
      </x:c>
      <x:c r="J12" s="30" t="n">
        <x:v>31.8</x:v>
      </x:c>
    </x:row>
    <x:row r="13">
      <x:c r="A13" s="6" t="str">
        <x:v>Estrutura</x:v>
      </x:c>
      <x:c r="B13" s="32" t="str">
        <x:v>As tabelas foram separadas em abas de temporada e agregados.</x:v>
      </x:c>
      <x:c r="D13" t="n">
        <x:v>2020</x:v>
      </x:c>
      <x:c r="E13" t="str">
        <x:v>Corinthians</x:v>
      </x:c>
      <x:c r="F13" s="28" t="n">
        <x:v>45</x:v>
      </x:c>
      <x:c r="G13" s="28" t="n">
        <x:v>73.7</x:v>
      </x:c>
      <x:c r="H13" s="30" t="n">
        <x:v>13</x:v>
      </x:c>
      <x:c r="I13" s="30" t="n">
        <x:v>115</x:v>
      </x:c>
      <x:c r="J13" s="30" t="n">
        <x:v>34.9</x:v>
      </x:c>
    </x:row>
    <x:row r="14">
      <x:c r="A14" s="6" t="str">
        <x:v>Destaque</x:v>
      </x:c>
      <x:c r="B14" s="32" t="str">
        <x:v>A aba Goleiro contém as métricas principais de goleiro: GA, SoTA, Saves, Save%, CS e pênaltis.</x:v>
      </x:c>
      <x:c r="D14" t="n">
        <x:v>2021</x:v>
      </x:c>
      <x:c r="E14" t="str">
        <x:v>Corinthians</x:v>
      </x:c>
      <x:c r="F14" s="28" t="n">
        <x:v>36</x:v>
      </x:c>
      <x:c r="G14" s="28" t="n">
        <x:v>78.3</x:v>
      </x:c>
      <x:c r="H14" s="30" t="n">
        <x:v>11</x:v>
      </x:c>
      <x:c r="I14" s="30" t="n">
        <x:v>122</x:v>
      </x:c>
      <x:c r="J14" s="30" t="n">
        <x:v>37</x:v>
      </x:c>
    </x:row>
    <x:row r="15">
      <x:c r="A15" s="6" t="str">
        <x:v>Fonte textual</x:v>
      </x:c>
      <x:c r="B15" s="32" t="str">
        <x:v>Texto colado na conversa pelo usuário.</x:v>
      </x:c>
      <x:c r="D15" t="n">
        <x:v>2022</x:v>
      </x:c>
      <x:c r="E15" t="str">
        <x:v>Corinthians</x:v>
      </x:c>
      <x:c r="F15" s="28" t="n">
        <x:v>28</x:v>
      </x:c>
      <x:c r="G15" s="28" t="n">
        <x:v>82.8</x:v>
      </x:c>
      <x:c r="H15" s="30" t="n">
        <x:v>7</x:v>
      </x:c>
      <x:c r="I15" s="30" t="n">
        <x:v>106</x:v>
      </x:c>
      <x:c r="J15" s="30" t="n">
        <x:v>34</x:v>
      </x:c>
    </x:row>
    <x:row r="16">
      <x:c r="A16" s="6" t="str">
        <x:v>Atualização</x:v>
      </x:c>
      <x:c r="B16" s="32" t="str">
        <x:v>2026-06-07 22:21</x:v>
      </x:c>
      <x:c r="D16" t="n">
        <x:v>2023</x:v>
      </x:c>
      <x:c r="E16" t="str">
        <x:v>Corinthians</x:v>
      </x:c>
      <x:c r="F16" s="28" t="n">
        <x:v>48</x:v>
      </x:c>
      <x:c r="G16" s="28" t="n">
        <x:v>76.1</x:v>
      </x:c>
      <x:c r="H16" s="30" t="n">
        <x:v>12</x:v>
      </x:c>
      <x:c r="I16" s="30" t="n">
        <x:v>134</x:v>
      </x:c>
      <x:c r="J16" s="30" t="n">
        <x:v>36.8</x:v>
      </x:c>
    </x:row>
    <x:row r="17">
      <x:c r="D17" t="n">
        <x:v>2024</x:v>
      </x:c>
      <x:c r="E17" t="str">
        <x:v>Corinthians</x:v>
      </x:c>
      <x:c r="F17" s="28" t="n">
        <x:v>3</x:v>
      </x:c>
      <x:c r="G17" s="28" t="n">
        <x:v>78.6</x:v>
      </x:c>
      <x:c r="H17" s="30" t="n">
        <x:v>2</x:v>
      </x:c>
      <x:c r="I17" s="30" t="n">
        <x:v>11</x:v>
      </x:c>
      <x:c r="J17" s="30" t="n">
        <x:v>3</x:v>
      </x:c>
    </x:row>
    <x:row r="18">
      <x:c r="D18" t="n">
        <x:v>2024</x:v>
      </x:c>
      <x:c r="E18" t="str">
        <x:v>Cruzeiro</x:v>
      </x:c>
      <x:c r="F18" s="28" t="n">
        <x:v>19</x:v>
      </x:c>
      <x:c r="G18" s="28" t="n">
        <x:v>82</x:v>
      </x:c>
      <x:c r="H18" s="30" t="n">
        <x:v>7</x:v>
      </x:c>
      <x:c r="I18" s="30" t="n">
        <x:v>82</x:v>
      </x:c>
      <x:c r="J18" s="30" t="n">
        <x:v>21</x:v>
      </x:c>
    </x:row>
    <x:row r="19">
      <x:c r="D19" t="n">
        <x:v>2025</x:v>
      </x:c>
      <x:c r="E19" t="str">
        <x:v>Cruzeiro</x:v>
      </x:c>
      <x:c r="F19" s="28" t="n">
        <x:v>27</x:v>
      </x:c>
      <x:c r="G19" s="28" t="n">
        <x:v>80.3</x:v>
      </x:c>
      <x:c r="H19" s="30" t="n">
        <x:v>5</x:v>
      </x:c>
      <x:c r="I19" s="30" t="n">
        <x:v>106</x:v>
      </x:c>
      <x:c r="J19" s="30" t="n">
        <x:v>34.3</x:v>
      </x:c>
    </x:row>
    <x:row r="20">
      <x:c r="D20" t="n">
        <x:v>2026</x:v>
      </x:c>
      <x:c r="E20" t="str">
        <x:v>Cruzeiro</x:v>
      </x:c>
      <x:c r="F20" s="28" t="n">
        <x:v>10</x:v>
      </x:c>
      <x:c r="G20" s="28" t="n">
        <x:v>58.3</x:v>
      </x:c>
      <x:c r="H20" s="30" t="n">
        <x:v>3</x:v>
      </x:c>
      <x:c r="I20" s="30" t="n">
        <x:v>14</x:v>
      </x:c>
      <x:c r="J20" s="30" t="n">
        <x:v>4.7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d91d7cea0e9471a"/>
</x:worksheet>
</file>